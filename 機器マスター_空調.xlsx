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sanmon.sharepoint.com/sites/sanmon2/Project_/02_CAD/02_Auto_Cad/08_CADツール/PIPEAUTOCAD/"/>
    </mc:Choice>
  </mc:AlternateContent>
  <xr:revisionPtr revIDLastSave="1" documentId="11_78136CD2678BC0E47305FB189A83181D0E1F4547" xr6:coauthVersionLast="47" xr6:coauthVersionMax="47" xr10:uidLastSave="{1CE5E386-4578-47D4-9AC4-234B5A332721}"/>
  <bookViews>
    <workbookView xWindow="-108" yWindow="-108" windowWidth="23256" windowHeight="13896" activeTab="1" xr2:uid="{00000000-000D-0000-FFFF-FFFF00000000}"/>
  </bookViews>
  <sheets>
    <sheet name="README" sheetId="2" r:id="rId1"/>
    <sheet name="KUCHO_KIKI_MASTER" sheetId="1" r:id="rId2"/>
    <sheet name="KANKI_MASTER" sheetId="3" r:id="rId3"/>
    <sheet name="GARARI_MASTER" sheetId="4" r:id="rId4"/>
    <sheet name="ROOM_MASTER" sheetId="5" r:id="rId5"/>
    <sheet name="検証_選定設定" sheetId="6" r:id="rId6"/>
    <sheet name="検証_エラー一覧" sheetId="7" r:id="rId7"/>
    <sheet name="検証_CAD_DATA" sheetId="8" r:id="rId8"/>
    <sheet name="検証_機器表（ガラリ）" sheetId="9" r:id="rId9"/>
    <sheet name="GARARI_TEST_CASE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9" l="1"/>
  <c r="P6" i="8"/>
  <c r="O6" i="8"/>
  <c r="B6" i="7"/>
</calcChain>
</file>

<file path=xl/sharedStrings.xml><?xml version="1.0" encoding="utf-8"?>
<sst xmlns="http://schemas.openxmlformats.org/spreadsheetml/2006/main" count="1611" uniqueCount="643">
  <si>
    <t>SYSTEM_TYPE</t>
  </si>
  <si>
    <t>MAKER</t>
  </si>
  <si>
    <t>MODEL_STATUS</t>
  </si>
  <si>
    <t>REGISTERED_DATE</t>
  </si>
  <si>
    <t>SERIES</t>
  </si>
  <si>
    <t>UNIT_TYPE</t>
  </si>
  <si>
    <t>AIRFLOW_TYPE</t>
  </si>
  <si>
    <t>CAPACITY_CLASS</t>
  </si>
  <si>
    <t>SYSTEM_CONFIG</t>
  </si>
  <si>
    <t>MODEL</t>
  </si>
  <si>
    <t>TYPE</t>
  </si>
  <si>
    <t>RELEASE_YEAR</t>
  </si>
  <si>
    <t>DISCONTINUED_YEAR</t>
  </si>
  <si>
    <t>SUCCESSOR_MODEL</t>
  </si>
  <si>
    <t>COOL_CAP</t>
  </si>
  <si>
    <t>HEAT_CAP</t>
  </si>
  <si>
    <t>COOL_POWER</t>
  </si>
  <si>
    <t>HEAT_POWER</t>
  </si>
  <si>
    <t>COMP_POWER</t>
  </si>
  <si>
    <t>FAN_IN</t>
  </si>
  <si>
    <t>FAN_OUT</t>
  </si>
  <si>
    <t>FAN_OUT_QTY</t>
  </si>
  <si>
    <t>PHASE</t>
  </si>
  <si>
    <t>VOLT</t>
  </si>
  <si>
    <t>FREQ</t>
  </si>
  <si>
    <t>LIQ_PIPE</t>
  </si>
  <si>
    <t>GAS_PIPE</t>
  </si>
  <si>
    <t>DRAIN</t>
  </si>
  <si>
    <t>INDOOR_MODEL</t>
  </si>
  <si>
    <t>OUTDOOR_MODEL</t>
  </si>
  <si>
    <t>INDOOR_QTY</t>
  </si>
  <si>
    <t>OUTDOOR_QTY</t>
  </si>
  <si>
    <t>REMOTE_MODEL</t>
  </si>
  <si>
    <t>PANEL_MODEL</t>
  </si>
  <si>
    <t>IN_H</t>
  </si>
  <si>
    <t>IN_W</t>
  </si>
  <si>
    <t>IN_D</t>
  </si>
  <si>
    <t>OUT_H</t>
  </si>
  <si>
    <t>OUT_W</t>
  </si>
  <si>
    <t>OUT_D</t>
  </si>
  <si>
    <t>IN_WEIGHT</t>
  </si>
  <si>
    <t>OUT_WEIGHT</t>
  </si>
  <si>
    <t>COOL_CURRENT</t>
  </si>
  <si>
    <t>HEAT_CURRENT</t>
  </si>
  <si>
    <t>MAX_CURRENT</t>
  </si>
  <si>
    <t>APF</t>
  </si>
  <si>
    <t>REFRIGERANT</t>
  </si>
  <si>
    <t>REFRIGERANT_CHARGE</t>
  </si>
  <si>
    <t>NOTE</t>
  </si>
  <si>
    <t>機器種別</t>
  </si>
  <si>
    <t>メーカー</t>
  </si>
  <si>
    <t>現行・旧型</t>
  </si>
  <si>
    <t>登録日</t>
  </si>
  <si>
    <t>シリーズ</t>
  </si>
  <si>
    <t>室内機タイプ</t>
  </si>
  <si>
    <t>吹出方式</t>
  </si>
  <si>
    <t>能力クラス</t>
  </si>
  <si>
    <t>システム構成</t>
  </si>
  <si>
    <t>セット形名</t>
  </si>
  <si>
    <t>メーカー形式・正式名称</t>
  </si>
  <si>
    <t>発売年度</t>
  </si>
  <si>
    <t>生産終了年度</t>
  </si>
  <si>
    <t>後継機種</t>
  </si>
  <si>
    <t>冷房能力 [kW]</t>
  </si>
  <si>
    <t>暖房能力 [kW]</t>
  </si>
  <si>
    <t>冷房消費電力 [kW]</t>
  </si>
  <si>
    <t>暖房消費電力 [kW]</t>
  </si>
  <si>
    <t>圧縮機出力 [kW]</t>
  </si>
  <si>
    <t>室内送風機出力 [kW]</t>
  </si>
  <si>
    <t>室外送風機出力 [kW]</t>
  </si>
  <si>
    <t>室外送風機台数</t>
  </si>
  <si>
    <t>相</t>
  </si>
  <si>
    <t>電圧 [V]</t>
  </si>
  <si>
    <t>周波数 [Hz]</t>
  </si>
  <si>
    <t>冷媒液管径 [mm]</t>
  </si>
  <si>
    <t>冷媒ガス管径 [mm]</t>
  </si>
  <si>
    <t>ドレン管径</t>
  </si>
  <si>
    <t>室内機形名</t>
  </si>
  <si>
    <t>室外機形名</t>
  </si>
  <si>
    <t>室内機台数</t>
  </si>
  <si>
    <t>室外機台数</t>
  </si>
  <si>
    <t>リモコン形名</t>
  </si>
  <si>
    <t>化粧パネル形名</t>
  </si>
  <si>
    <t>室内機高さ [mm]</t>
  </si>
  <si>
    <t>室内機幅 [mm]</t>
  </si>
  <si>
    <t>室内機奥行 [mm]</t>
  </si>
  <si>
    <t>室外機高さ [mm]</t>
  </si>
  <si>
    <t>室外機幅 [mm]</t>
  </si>
  <si>
    <t>室外機奥行 [mm]</t>
  </si>
  <si>
    <t>室内機質量 [kg]</t>
  </si>
  <si>
    <t>室外機質量 [kg]</t>
  </si>
  <si>
    <t>冷房運転電流 [A]</t>
  </si>
  <si>
    <t>暖房運転電流 [A]</t>
  </si>
  <si>
    <t>最大運転電流 [A]</t>
  </si>
  <si>
    <t>通年エネルギー消費効率 APF</t>
  </si>
  <si>
    <t>冷媒種類</t>
  </si>
  <si>
    <t>冷媒封入量 [kg]</t>
  </si>
  <si>
    <t>備考</t>
  </si>
  <si>
    <t>空冷ヒートポンプ式パッケージエアコン</t>
  </si>
  <si>
    <t>三菱電機</t>
  </si>
  <si>
    <t>PLZ-HRMP80HF6</t>
  </si>
  <si>
    <t>４方向天井カセット形(ｉ－スクエアタイプ)</t>
  </si>
  <si>
    <t>3φ</t>
  </si>
  <si>
    <t>VP-25</t>
  </si>
  <si>
    <t>PDF仕様表から初期登録。能力・消費電力等は仕様表の定格標準値。</t>
  </si>
  <si>
    <t>PLZ-HRMP112HF6</t>
  </si>
  <si>
    <t>PDF仕様表から転記。能力・消費電力等は定格標準値。</t>
  </si>
  <si>
    <t>PEZ-HRMP160D6</t>
  </si>
  <si>
    <t>添付資料では仕様値を確認できないため型番のみ登録。要確認。</t>
  </si>
  <si>
    <t>現行</t>
  </si>
  <si>
    <t>2026-10-09</t>
  </si>
  <si>
    <t>スリムZR</t>
  </si>
  <si>
    <t>2方向天井カセット形</t>
  </si>
  <si>
    <t>2方向</t>
  </si>
  <si>
    <t>シングル</t>
  </si>
  <si>
    <t>PLZ-HRMP80LF6</t>
  </si>
  <si>
    <t>２方向天井カセット形</t>
  </si>
  <si>
    <t>PL-RP80LA22</t>
  </si>
  <si>
    <t>PUZ-HRMP80KA10</t>
  </si>
  <si>
    <t>PAR-48MA</t>
  </si>
  <si>
    <t>CMP-P71LWEG7</t>
  </si>
  <si>
    <t>R32</t>
  </si>
  <si>
    <t>添付PDF仕様表に基づき更新。室内機質量26kg（パネル8kg別）。仕様書2026-02-21。</t>
  </si>
  <si>
    <t>ハウジングエアコン</t>
  </si>
  <si>
    <t>要確認</t>
  </si>
  <si>
    <t>1方向天井カセット形</t>
  </si>
  <si>
    <t>1方向</t>
  </si>
  <si>
    <t>MLZ-HX2822AS</t>
  </si>
  <si>
    <t>１方向天井カセット形ハウジングエアコン</t>
  </si>
  <si>
    <t>50/60</t>
  </si>
  <si>
    <t>VP20</t>
  </si>
  <si>
    <t>MLZ-HX2822AS-IN</t>
  </si>
  <si>
    <t>MULZ-HX2822AS</t>
  </si>
  <si>
    <t>R410A</t>
  </si>
  <si>
    <t>添付PDF仕様表に基づき更新。室内送風機30W、室外50W。パネル3.4kg別。</t>
  </si>
  <si>
    <t>同時ツイン</t>
  </si>
  <si>
    <t>PMZX-HRMP80F6</t>
  </si>
  <si>
    <t>１方向天井カセット形／(同時ツイン同容量同タイプ)</t>
  </si>
  <si>
    <t>PM-RP40FA22</t>
  </si>
  <si>
    <t>PMP-P80FWH11</t>
  </si>
  <si>
    <t>添付PDF仕様表に基づき更新。室内送風機0.09kWと質量25kgは1台分。分岐SDD-50SR9。室内側冷媒φ6.35/12.7、登録は室外側。</t>
  </si>
  <si>
    <t>スリムER</t>
  </si>
  <si>
    <t>厨房用 天吊形</t>
  </si>
  <si>
    <t>天吊形</t>
  </si>
  <si>
    <t>PCZX-ERMP280H6</t>
  </si>
  <si>
    <t>厨房用 天吊形／(同時ツイン同容量同タイプ)</t>
  </si>
  <si>
    <t>PC-RP140HA22</t>
  </si>
  <si>
    <t>PUZ-ERMP280KA6</t>
  </si>
  <si>
    <t>PDF仕様表から転記。室内機2台。室内送風機は1台あたりシロッコファン0.080kW×2。配管径は室外機接続側。仕様書作成日2026-02-20。</t>
  </si>
  <si>
    <t>4方向天井カセット形(i-スクエアタイプ)</t>
  </si>
  <si>
    <t>4方向</t>
  </si>
  <si>
    <t>PLZ-ZRMP140HF6</t>
  </si>
  <si>
    <t>PL-ZRP140HA5</t>
  </si>
  <si>
    <t>PUZ-ZRMP140KA16</t>
  </si>
  <si>
    <t>PLP-P160HWF</t>
  </si>
  <si>
    <t>PDF仕様表から転記。室内機質量は本体26kg（パネル4.5kgは別）。仕様書作成日2026-02-16。</t>
  </si>
  <si>
    <t>PLZX-ERMP224H6</t>
  </si>
  <si>
    <t>４方向天井カセット形(ｉ－スクエアタイプ)／(同時ツイン同容量同タイプ)</t>
  </si>
  <si>
    <t>PL-ERP112HA5</t>
  </si>
  <si>
    <t>PUZ-ERMP224KA6</t>
  </si>
  <si>
    <t>PLP-P160HWH</t>
  </si>
  <si>
    <t>PDF仕様表から転記。室内機2台。室内機質量は1台あたり本体25kg（パネル4.5kgは別）。配管径は室外機接続側。仕様書作成日2026-02-17。</t>
  </si>
  <si>
    <t>同時トリプル</t>
  </si>
  <si>
    <t>PLZT-ERMP224L6</t>
  </si>
  <si>
    <t>２方向天井カセット形／(同時トリプル同容量同タイプ)</t>
  </si>
  <si>
    <t>CMP-P71LWHG7</t>
  </si>
  <si>
    <t>PDF仕様表から転記。室内機3台。室内機質量は1台あたり本体26kg（パネル8kgは別）。配管径は室外機接続側。仕様書作成日2026-02-13。</t>
  </si>
  <si>
    <t>PLZX-ZRMP280HF6-M</t>
  </si>
  <si>
    <t>PUZ-ZRMP280KA6</t>
  </si>
  <si>
    <t>PDF仕様表から転記。室内機2台。室内機質量は1台あたり本体26kg（パネル4.5kgは別）。配管径は室外機接続側。MELく～るLINK用セルラーアダプタ構成を含む。仕様書作成日2026-04-20。</t>
  </si>
  <si>
    <t>PLZX-ZRMP140L6</t>
  </si>
  <si>
    <t>２方向天井カセット形／(同時ツイン同容量同タイプ)</t>
  </si>
  <si>
    <t>PL-RP71LA22</t>
  </si>
  <si>
    <t>PDF仕様表から転記。室内機2台。室内機質量は1台あたり本体26kg（パネル8kgは別）。仕様書作成日2026-02-17。</t>
  </si>
  <si>
    <t>パナソニック</t>
  </si>
  <si>
    <t>不明</t>
  </si>
  <si>
    <t>壁掛形</t>
  </si>
  <si>
    <t>PA-P112K7HC</t>
  </si>
  <si>
    <t>壁掛形　ナノイーX搭載（シングル）《三相電源》</t>
  </si>
  <si>
    <t>VP16</t>
  </si>
  <si>
    <t>CS-P112K7C</t>
  </si>
  <si>
    <t>CU-P112H7C(J)</t>
  </si>
  <si>
    <t>CZ-10RT5C</t>
  </si>
  <si>
    <t>PDF仕様表から転記。MODEL_STATUSは資料内に現行/生産終了の明記がないため「不明」。ナノイーX搭載。室外機品番末尾Jは耐重塩害仕様。仕様書作成月2026-01。</t>
  </si>
  <si>
    <t>厨房用天吊形</t>
  </si>
  <si>
    <t>PA-P140V7HNC</t>
  </si>
  <si>
    <t>天吊形厨房用エアコン（シングル）《三相電源》</t>
  </si>
  <si>
    <t>VP25</t>
  </si>
  <si>
    <t>CS-P140V7C</t>
  </si>
  <si>
    <t>CU-P140H7C(J)</t>
  </si>
  <si>
    <t>PDF仕様表から転記。MODEL_STATUSは資料内に現行/生産終了の明記がないため「不明」。50Hz値を主要数値列に記録。60Hzは冷房消費電力3.77kW、暖房消費電力3.92kW、冷房運転電流11.5A、暖房運転電流11.9A、最大運転電流21.4A、APF2015=4.6。室外機品番末尾Jは耐重塩害仕様。仕様書作成月2026-02。</t>
  </si>
  <si>
    <t>天井ビルトインカセット形</t>
  </si>
  <si>
    <t>PA-P160F7HNB</t>
  </si>
  <si>
    <t>天井ビルトインカセット形（シングル）《三相電源》</t>
  </si>
  <si>
    <t>CS-P160F7B</t>
  </si>
  <si>
    <t>CU-P160H7B(J)</t>
  </si>
  <si>
    <t>CZ-10RT5</t>
  </si>
  <si>
    <t>CZ-06HPF4</t>
  </si>
  <si>
    <t>PDF仕様表から転記。MODEL_STATUSは資料内に現行/生産終了の明記がないため「不明」。室内機高さは本体290mmを記録（スライドチャンバー+80～125mm）。室内機質量46kg、パネル7kgは別。室外機品番末尾Jは耐重塩害仕様。仕様書作成月2023-12。</t>
  </si>
  <si>
    <t>PA-P280F7HDNC</t>
  </si>
  <si>
    <t>天井ビルトインカセット形　ナノイーX搭載（ツイン）《三相電源》</t>
  </si>
  <si>
    <t>CS-P140F7C</t>
  </si>
  <si>
    <t>CU-P280H7C(J)</t>
  </si>
  <si>
    <t>CZ-06HPF3</t>
  </si>
  <si>
    <t>PDF仕様表から転記。MODEL_STATUSは資料内に現行/生産終了の明記がないため「不明」。ナノイーX搭載。室内機2台。室内機高さは1台あたり本体290mmを記録（スライドチャンバー+80～125mm）。室内機質量45kg/台、パネル7kg/台は別。配管径は室外機接続側（液12.7、ガス25.4）。室外機品番末尾Jは耐重塩害仕様。仕様書作成月2026-01。</t>
  </si>
  <si>
    <t>2026-09-28</t>
  </si>
  <si>
    <t>PLZ-ZRMP63HF6</t>
  </si>
  <si>
    <t>PL-ZRP63HA5</t>
  </si>
  <si>
    <t>PUZ-ZRMP63KA16</t>
  </si>
  <si>
    <t>出典: PAC-1_plz-zrmp63hf6_2_sn.pdf。60Hz仕様値。室内機質量20kg（パネル4.5kgは別）。室外機寸法は本体630×809×300mm（突起部を除く）。仕様書作成日2026-02-13。MODEL_STATUSは資料内に現行/旧型の明記がないため不明。</t>
  </si>
  <si>
    <t>天井ビルトイン形</t>
  </si>
  <si>
    <t>PDZ-ZRMP63G6-M</t>
  </si>
  <si>
    <t>PD-RP63GA22</t>
  </si>
  <si>
    <t>CMP-P90DLWHG</t>
  </si>
  <si>
    <t>出典: PAC-2_pdz-zrmp63g6-m_2_sn.pdf。60Hz仕様値。室内機質量33kg（パネル11kgは別）。MELく～るLINK用セルラーアダプタPAC-SL49CAおよび取付部材PAC-SL50CABを含む構成。仕様書作成日2026-04-20。MODEL_STATUSは資料内に現行/旧型の明記がないため不明。</t>
  </si>
  <si>
    <t>冷暖房用壁掛形ルームエアコン</t>
  </si>
  <si>
    <t>ZXV</t>
  </si>
  <si>
    <t>MSZ-ZXV2226-W</t>
  </si>
  <si>
    <t>1φ</t>
  </si>
  <si>
    <t>φ16</t>
  </si>
  <si>
    <t>MSZ-ZXV2226-W-IN</t>
  </si>
  <si>
    <t>MUZ-ZXV2226</t>
  </si>
  <si>
    <t>出典: RAC-1_msz-zxv2226-w_0_sn.pdf。50/60Hz共通。消費電力は冷房425W・暖房465WをkW換算。圧縮機出力は呼称出力600Wを0.6kWとして記録。室内送風機28W、室外送風機50WをkW換算。仕様書発行日2025-09-19。MODEL_STATUSは資料内に現行/旧型の明記がないため不明。</t>
  </si>
  <si>
    <t>2026-10-03</t>
  </si>
  <si>
    <t>JXV</t>
  </si>
  <si>
    <t>MSZ-JXV2226-W</t>
  </si>
  <si>
    <t>MSZ-JXV2226-W-IN</t>
  </si>
  <si>
    <t>MUZ-JXV2226</t>
  </si>
  <si>
    <t>出典: RAC-2_msz-jxv2226-w_0_sn.pdf。2026-10-03再確認。50/60Hz共通。電源は単相100V（PHASE=1）。冷媒配管は液管φ6.35、ガス管φ9.52。冷房能力2.2kW、暖房能力2.5kW、消費電力は冷房0.425kW・暖房0.465kW。圧縮機呼称出力0.6kW、室内送風機0.028kW、室外送風機0.05kW。室内機MSZ-JXV2226-W-IN、室外機MUZ-JXV2226、冷媒R32 0.71kg、APF6.7。仕様書発行日2026-01-26。MODEL_STATUSは資料内に現行/旧型の明記がないため不明。</t>
  </si>
  <si>
    <t>パッケージエアコン</t>
  </si>
  <si>
    <t>2026-10-04</t>
  </si>
  <si>
    <t>ER</t>
  </si>
  <si>
    <t>床置形</t>
  </si>
  <si>
    <t>セット</t>
  </si>
  <si>
    <t>PFZ-ERMP280E6</t>
  </si>
  <si>
    <t>床置形パッケージエアコン</t>
  </si>
  <si>
    <t>VP-20</t>
  </si>
  <si>
    <t>PF-RP280EA6</t>
  </si>
  <si>
    <t>出典: PAC-1_pfz-ermp280e6_2_sn.pdf。セット形名PFZ-ERMP280E6。室内PF-RP280EA6、室外PUZ-ERMP280KA6(-BS,-BSG)。60Hz・三相200V。定格冷房25.0kW/10.4kW、定格暖房28.0kW/8.76kW。圧縮機6.00kW×1、室内送風機0.375kW×1、室外送風機0.200kW×2。冷媒R32 6.5kg、液φ12.7/ガスφ25.4、ドレンVP-20。APF2015=4.0。仕様書作成日2026-02-20。MODEL_STATUSは資料内に現行/旧型の明記がないため不明。</t>
  </si>
  <si>
    <t>ダイキン</t>
  </si>
  <si>
    <t>2026-10-07</t>
  </si>
  <si>
    <t>S256ATES-W</t>
  </si>
  <si>
    <t>冷暖房兼用 壁掛形</t>
  </si>
  <si>
    <t>F256ATES-W</t>
  </si>
  <si>
    <t>R256AES</t>
  </si>
  <si>
    <t>ARC478A110</t>
  </si>
  <si>
    <t>出典: 住戸A_S256ATES-W_仕様表_JA16166202.pdf。ダイキン初回登録のため仕様表を複数回照合。50/60Hz共通。室内機F256ATES-W、室外機R256AES。室外機質量は標準20kg（耐塩害・耐重塩害仕様は24/25kg）。冷媒配管は液φ6.4、ガスφ9.5。仕様書に現行/旧型の明記がないためMODEL_STATUS=不明。</t>
  </si>
  <si>
    <t>マルチエアコン</t>
  </si>
  <si>
    <t>マルチ室外機</t>
  </si>
  <si>
    <t>2室マルチ</t>
  </si>
  <si>
    <t>2M455AV</t>
  </si>
  <si>
    <t>冷暖房兼用 マルチ室外機</t>
  </si>
  <si>
    <t>出典: 住戸B_2M455AV_仕様表_JA15721101.pdf。ダイキン初回登録のため仕様表を複数回照合。50/60Hz共通、単相200V。2室マルチ室外機。接続配管は液φ6.4×2、ガスφ9.5×2（マスター径欄には径のみ記録）。最大運転電流は冷房8.9A・暖房10.6Aのうち大きい10.6Aを記録。仕様書に現行/旧型の明記がないためMODEL_STATUS=不明。</t>
  </si>
  <si>
    <t>マルチ室内機</t>
  </si>
  <si>
    <t>C285ATV-W</t>
  </si>
  <si>
    <t>冷暖房兼用 壁掛形（マルチ用室内機）</t>
  </si>
  <si>
    <t>ARC478A121</t>
  </si>
  <si>
    <t>出典: 住戸B_C285ATV-W_仕様表_JA15654102.pdf。ダイキン初回登録のため仕様表を複数回照合。マルチ用室内機のため、能力・消費電力・運転電流等は接続するマルチ室外機の仕様書参照と記載されており空欄。室内送風機29W、液φ6.4、ガスφ9.5、ドレンVP20。仕様書に現行/旧型の明記がないためMODEL_STATUS=不明。</t>
  </si>
  <si>
    <t>C225ATV-W</t>
  </si>
  <si>
    <t>出典: 住戸B_C225ATV-W_仕様表_JA15654101.pdf。ダイキン初回登録のため仕様表を複数回照合。マルチ用室内機のため、能力・消費電力・運転電流等は接続するマルチ室外機の仕様書参照と記載されており空欄。室内送風機29W、液φ6.4、ガスφ9.5、ドレンVP20。仕様書に現行/旧型の明記がないためMODEL_STATUS=不明。</t>
  </si>
  <si>
    <t>2026-10-08</t>
  </si>
  <si>
    <t>MSZ-ZXV22F1-W</t>
  </si>
  <si>
    <t>MSZ-ZXV22F1-W-IN</t>
  </si>
  <si>
    <t>MUZ-ZXV22F1</t>
  </si>
  <si>
    <t>出典: RAC-1（２２）新型RAC仕様書-1.pdf。50/60Hz共通。冷房2.2kW・425W・4.50A、暖房2.5kW・465W・4.69A（最大15.0A）。室内送風機28W、室外送風機50W、圧縮機呼称出力600W。室内機寸法は本体295×799×389mm（据付板含み394mm）、室外機寸法は本体550×800×285mm（突起部除く）。仕様書発行日2026-09-08。MODEL_STATUSは資料内に現行/旧型の明記がないため不明。</t>
  </si>
  <si>
    <t>MSZ-ZXV25F1-W</t>
  </si>
  <si>
    <t>MSZ-ZXV25F1-W-IN</t>
  </si>
  <si>
    <t>MUZ-ZXV25F1</t>
  </si>
  <si>
    <t>出典: RAC-2（２５）新型RAC仕様書-2.pdf。50/60Hz共通。冷房2.5kW・500W・5.30A、暖房2.8kW・525W・5.30A（最大15.0A）。室内送風機28W、室外送風機50W、圧縮機呼称出力650W。室内機寸法は本体295×799×389mm（据付板含み394mm）、室外機寸法は本体550×800×285mm（突起部除く）。仕様書発行日2026-09-08。MODEL_STATUSは資料内に現行/旧型の明記がないため不明。</t>
  </si>
  <si>
    <t>MSZ-ZXV28F1-W</t>
  </si>
  <si>
    <t>MSZ-ZXV28F1-W-IN</t>
  </si>
  <si>
    <t>MUZ-ZXV28F1</t>
  </si>
  <si>
    <t>出典: RAC-3（２８）新型RAC仕様書-3.pdf。50/60Hz共通。冷房2.8kW・580W・6.17A、暖房3.6kW・710W・7.17A（最大20.0A）。室内送風機28W、室外送風機50W、圧縮機呼称出力750W。室内機寸法は本体295×799×389mm（据付板含み394mm）、室外機寸法は本体550×800×285mm（突起部除く）。仕様書発行日2026-09-08。MODEL_STATUSは資料内に現行/旧型の明記がないため不明。</t>
  </si>
  <si>
    <t>MSZ-ZXV71F1S-W</t>
  </si>
  <si>
    <t>MSZ-ZXV71F1S-W-IN</t>
  </si>
  <si>
    <t>MUZ-ZXV71F1S</t>
  </si>
  <si>
    <t>出典: RAC-4（７１）新型RAC仕様書-4.pdf。50/60Hz共通。単相200V。冷房7.1kW・2.380kW・12.65A、暖房8.5kW・2.220kW・11.20A（最大20.0A）。室内送風機46W、室外送風機50W、圧縮機呼称出力2.0kW。室内機寸法は本体295×799×389mm（据付板含み394mm）、室外機寸法は本体714×800×285mm（突起部除く）。仕様書発行日2026-09-08。MODEL_STATUSは資料内に現行/旧型の明記がないため不明。</t>
  </si>
  <si>
    <t>PCZ-HRMP160K6</t>
  </si>
  <si>
    <t>天吊形(ワイヤード)</t>
  </si>
  <si>
    <t>PC-RP160KA22</t>
  </si>
  <si>
    <t>PUZ-HRMP160KA10</t>
  </si>
  <si>
    <t>添付PDF仕様表から登録。定格標準値。仕様書2026-02-21。</t>
  </si>
  <si>
    <t>ルームエアコン</t>
  </si>
  <si>
    <t>MSZ-NXV2226-W</t>
  </si>
  <si>
    <t>φ16（外径）</t>
  </si>
  <si>
    <t>MSZ-NXV2226-W-IN</t>
  </si>
  <si>
    <t>MUZ-NXV2226</t>
  </si>
  <si>
    <t>添付PDF仕様表から登録。消費電力は定格値。仕様書2025-09-19。</t>
  </si>
  <si>
    <t>MSZ-NXV2826S-W</t>
  </si>
  <si>
    <t>MSZ-NXV2826S-W-IN</t>
  </si>
  <si>
    <t>MUZ-NXV2826S</t>
  </si>
  <si>
    <t>2026-10-11</t>
  </si>
  <si>
    <t>ツイン</t>
  </si>
  <si>
    <t>PEZX-ERMP280D6</t>
  </si>
  <si>
    <t>PE-RP140DA22</t>
  </si>
  <si>
    <t>セット定格値。冷媒配管は室外機側（液12.7/ガス25.4mm）。分岐後室内機側は各液9.52/ガス15.88mm。</t>
  </si>
  <si>
    <t>SSRC160D</t>
  </si>
  <si>
    <t>メーカー仕様表JA16162409による。その他の数値は画像資料の細字照合未了のため保留。</t>
  </si>
  <si>
    <t>AN716AFP-W</t>
  </si>
  <si>
    <t>AR716AFP</t>
  </si>
  <si>
    <t>メーカー仕様表JA16167008。定格能力。配管径は仕様表記載の液φ6.4/ガスφ12.7。消費電力は画像の精査未了。</t>
  </si>
  <si>
    <t>PCZ-ZRMP140H6</t>
  </si>
  <si>
    <t>2026-02-13メーカー仕様書。定格標準値、50/60Hz共通。</t>
  </si>
  <si>
    <t>KUCHO_KIKI_MASTER 使用方法</t>
  </si>
  <si>
    <t>1行目：AutoCAD属性タグ／LISP用の英語キー</t>
  </si>
  <si>
    <t>メーカー仕様書から抽出した機器情報を蓄積し、将来AutoCAD属性へ一括入力するためのマスターです。</t>
  </si>
  <si>
    <t>2行目：人が確認するための日本語項目名</t>
  </si>
  <si>
    <t>KIKI_MASTERシート。1行＝1セット型番を基本とします。</t>
  </si>
  <si>
    <t>3行目以降：機器マスターデータ</t>
  </si>
  <si>
    <t>数値列には単位文字を入れず数値だけを保存します（例：冷房能力 7.1）。</t>
  </si>
  <si>
    <t>案件固有情報</t>
  </si>
  <si>
    <t>PAC-1等の機器記号、設置場所、数量はこのマスターには持たせず、案件側のAutoCAD属性で管理する想定です。</t>
  </si>
  <si>
    <t>数値項目は単位をセル値に含めず、列見出し側に単位を記載します。</t>
  </si>
  <si>
    <t>PDF自動抽出後は「要確認」、人が仕様書と照合したら「確認済」に変更します。</t>
  </si>
  <si>
    <t>今後のLISP連携では1行目の英語タグをキーとして使用する想定です。</t>
  </si>
  <si>
    <t>PLZ-HRMP80HF6をサンプル登録。室内機PL-HRP80HA5、室外機PUZ-HRMP80KA10、リモコンPAR-48MA等をPDFから転記しています。</t>
  </si>
  <si>
    <t>KIKISET選択用列（2026-09-27）</t>
  </si>
  <si>
    <t>KIKISETでは原則「機器種別 → メーカー → 現行・旧型 → シリーズ → 室内機タイプ → 吹出方式 → 能力クラス → システム構成 → セット形名」の順で絞り込みます。</t>
  </si>
  <si>
    <t>現行 / 旧型 / 不明。年式だけで自動判定せず、メーカー資料の現行ラインアップ・生産終了情報を優先します。</t>
  </si>
  <si>
    <t>メーカー固有のシリーズ名。例：ZR、スゴ暖、FIVE STAR ZEAS。シリーズ不明は空欄または不明。</t>
  </si>
  <si>
    <t>室内機タイプ。例：天井カセット、天井埋込、天吊、壁掛、床置。メーカー正式名称とは分離して検索用に正規化します。</t>
  </si>
  <si>
    <t>吹出方式。例：4方向、2方向、1方向。該当しない機種は空欄。</t>
  </si>
  <si>
    <t>能力クラス。例：28、56、80、112、140。実能力[kW]とは別管理します。</t>
  </si>
  <si>
    <t>シングル / 同時ツイン / 同時トリプル / 同時フォー等。</t>
  </si>
  <si>
    <t>セット形名。KIKISETで最終的に選択する主キー候補です。</t>
  </si>
  <si>
    <t>メーカー仕様書に記載された形式・正式名称を保存します。検索用のUNIT_TYPE/AIRFLOW_TYPEとは分離します。</t>
  </si>
  <si>
    <t>発売年度。メーカー資料で確認できる場合のみ入力します。</t>
  </si>
  <si>
    <t>生産終了年度。メーカー資料で確認できる場合のみ入力します。</t>
  </si>
  <si>
    <t>旧型の後継セット形名。メーカー資料等で確認できた場合のみ入力します。</t>
  </si>
  <si>
    <t>PDF転記ルール</t>
  </si>
  <si>
    <t>PDFにない値は推測せず空欄。資料不足・判定不能事項はNOTEへ「要確認」と記録します。</t>
  </si>
  <si>
    <t>列キー運用</t>
  </si>
  <si>
    <t>KIKISET/CAD連携は1行目の英語キーを参照し、列番号の固定参照は避けます。今後の列追加・並べ替えに耐えられる実装とします。</t>
  </si>
  <si>
    <t>KANKI_MASTER（換気機器マスター）</t>
  </si>
  <si>
    <t>換気機器は1行＝1型番を基本とし、案件固有の機器記号・設置場所・数量は保持しません。</t>
  </si>
  <si>
    <t>KANKISET選択順</t>
  </si>
  <si>
    <t>機器種別 → メーカー → 現行・旧型 → シリーズ → 取付方式 → 接続ダクト径 → 風量 → 型番 を基本とします。</t>
  </si>
  <si>
    <t>換気機器表への出力</t>
  </si>
  <si>
    <t>機器表表示用の仕様文字列は、DUCT_DIA・AIRFLOW・STATIC_PRESSURE等の数値列からLISP側で組み立てます。</t>
  </si>
  <si>
    <t>SYMBOL、LOCATION、QTY等は図面ブロック側で管理し、KANKI_MASTERには保存しません。</t>
  </si>
  <si>
    <t>KANKISET/CAD連携は1行目の英語キーを参照し、列番号固定で参照しないでください。</t>
  </si>
  <si>
    <t>機器をマスターへ新規登録した日を YYYY-MM-DD 形式で保存します。KIKISETの「当日登録」一覧抽出に使用します。</t>
  </si>
  <si>
    <t>登録日入力ルール</t>
  </si>
  <si>
    <t>新規機種追加時は登録当日の日付を入力します。既存機種の仕様修正だけでは登録日を変更しません。</t>
  </si>
  <si>
    <t>KANKI_MASTER 全熱交換器</t>
  </si>
  <si>
    <t>全熱交換器は TEMP_EX_EFF（温度交換効率）、ENTHALPY_HEAT_EFF（エンタルピー交換効率 暖房）、ENTHALPY_COOL_EFF（エンタルピー交換効率 冷房）を使用。仕様書にない値は空欄。</t>
  </si>
  <si>
    <t>統合マスター</t>
  </si>
  <si>
    <t>KIKISET・GARARITABLEはこのブックを読み込みます。</t>
  </si>
  <si>
    <t>空調・換気</t>
  </si>
  <si>
    <t>KUCHO_KIKI_MASTER / KANKI_MASTER</t>
  </si>
  <si>
    <t>ガラリ・室内給気口</t>
  </si>
  <si>
    <t>GARARI_MASTER / ROOM_MASTER。1行目はキー、2行目は日本語見出し、3行目以降がデータです。</t>
  </si>
  <si>
    <t>機器データの更新</t>
  </si>
  <si>
    <t>各マスターシートを編集して保存してください。</t>
  </si>
  <si>
    <t>検証用データ</t>
  </si>
  <si>
    <t>検証_で始まる4シートは旧出力サンプル。GARARI_TEST_CASESは試験条件と期待値です。</t>
  </si>
  <si>
    <t>検証シートの扱い</t>
  </si>
  <si>
    <t>検証用データは通常の機種選定には使用しません。</t>
  </si>
  <si>
    <t>EQUIP_TYPE</t>
  </si>
  <si>
    <t>NAME</t>
  </si>
  <si>
    <t>MOUNT_TYPE</t>
  </si>
  <si>
    <t>CONTROL_TYPE</t>
  </si>
  <si>
    <t>DUCT_DIA</t>
  </si>
  <si>
    <t>AIRFLOW</t>
  </si>
  <si>
    <t>STATIC_PRESSURE</t>
  </si>
  <si>
    <t>POWER</t>
  </si>
  <si>
    <t>CURRENT</t>
  </si>
  <si>
    <t>MOTOR_POWER</t>
  </si>
  <si>
    <t>NOISE</t>
  </si>
  <si>
    <t>H</t>
  </si>
  <si>
    <t>W</t>
  </si>
  <si>
    <t>D</t>
  </si>
  <si>
    <t>WEIGHT</t>
  </si>
  <si>
    <t>ACCESSORY</t>
  </si>
  <si>
    <t>TEMP_EX_EFF</t>
  </si>
  <si>
    <t>ENTHALPY_HEAT_EFF</t>
  </si>
  <si>
    <t>ENTHALPY_COOL_EFF</t>
  </si>
  <si>
    <t>型番</t>
  </si>
  <si>
    <t>名称</t>
  </si>
  <si>
    <t>形式・特徴</t>
  </si>
  <si>
    <t>取付方式</t>
  </si>
  <si>
    <t>制御方式</t>
  </si>
  <si>
    <t>接続ダクト径 [mm]</t>
  </si>
  <si>
    <t>風量 [m3/h]</t>
  </si>
  <si>
    <t>静圧 [Pa]</t>
  </si>
  <si>
    <t>消費電力 [kW]</t>
  </si>
  <si>
    <t>運転電流 [A]</t>
  </si>
  <si>
    <t>電動機出力 [kW]</t>
  </si>
  <si>
    <t>騒音 [dB]</t>
  </si>
  <si>
    <t>高さ [mm]</t>
  </si>
  <si>
    <t>幅 [mm]</t>
  </si>
  <si>
    <t>奥行 [mm]</t>
  </si>
  <si>
    <t>質量 [kg]</t>
  </si>
  <si>
    <t>付属品</t>
  </si>
  <si>
    <t>温度交換効率 [%]</t>
  </si>
  <si>
    <t>エンタルピー交換効率 暖房 [%]</t>
  </si>
  <si>
    <t>エンタルピー交換効率 冷房 [%]</t>
  </si>
  <si>
    <t>ダクト用換気扇</t>
  </si>
  <si>
    <t>VD-10ZVC7</t>
  </si>
  <si>
    <t>低騒音形 24時間換気機能付 定風量タイプ</t>
  </si>
  <si>
    <t>天井埋込</t>
  </si>
  <si>
    <t>24時間換気・定風量・強弱切替</t>
  </si>
  <si>
    <t>PDF仕様書から転記。仕様書作成日2024-02-01。EF-1設計点は100m3/h・90Pa。強運転時：消費電力9.7W、運転電流0.19A、騒音23.5dB、最大電流0.08A。24時間換気時：風量60m3/h、消費電力3.8W、騒音16.5dB。MODEL_STATUSは資料内に現行/旧型の明記がないため不明。</t>
  </si>
  <si>
    <t>VD-15ZLC14-CS</t>
  </si>
  <si>
    <t>低騒音形 24時間換気機能付</t>
  </si>
  <si>
    <t>24時間換気・強弱切替</t>
  </si>
  <si>
    <t>PDF仕様書から転記。EF-2設計点は120m3/h・50Pa。主要電気値は50Hz強運転時：消費電力14W、運転電流0.15A、騒音28.5dB。24時間換気時：風量90m3/h、消費電力5W、騒音16.5dB。60Hz強運転時：15.5W、0.165A。MODEL_STATUSは資料内に現行/旧型の明記がないため不明。</t>
  </si>
  <si>
    <t>VD-20ZLC14-S</t>
  </si>
  <si>
    <t>PDF仕様書から転記。EF-3設計点は290m3/h・80Pa。主要電気値は50Hz強運転時：消費電力44W、運転電流0.5A、騒音36.5dB。24時間換気時：風量220m3/h、消費電力14.5W、騒音23dB。60Hz強運転時：49W、0.55A。MODEL_STATUSは資料内に現行/旧型の明記がないため不明。</t>
  </si>
  <si>
    <t>VD-23ZLX14-CS</t>
  </si>
  <si>
    <t>低騒音形 24時間換気機能付 インテリア格子タイプ</t>
  </si>
  <si>
    <t>PDF仕様書から転記。EF-4設計点は400m3/h・150Pa。主要電気値は50Hz強運転時：消費電力74W、運転電流0.74A、騒音42dB。24時間換気時：風量310m3/h、消費電力28W、騒音27.5dB。60Hz強運転時：82W、0.82A。MODEL_STATUSは資料内に現行/旧型の明記がないため不明。</t>
  </si>
  <si>
    <t>VD-18ZP14</t>
  </si>
  <si>
    <t>低騒音形 オール金属タイプ</t>
  </si>
  <si>
    <t>定格運転</t>
  </si>
  <si>
    <t>PDF仕様書から転記。EF-5設計点は250m3/h・100Pa。主要電気値は50Hz定格時：消費電力33W、運転電流0.35A、騒音34.5dB。60Hz定格時：消費電力38W、運転電流0.4A、風量370m3/h。MODEL_STATUSは資料内に現行/旧型の明記がないため不明。</t>
  </si>
  <si>
    <t>全熱交換器</t>
  </si>
  <si>
    <t>ロスナイ</t>
  </si>
  <si>
    <t>VL-200ZSD3</t>
  </si>
  <si>
    <t>ダクト用ロスナイ</t>
  </si>
  <si>
    <t>天井埋込形 急速排気機能付・電気式シャッター付</t>
  </si>
  <si>
    <t>急速排気・ロスナイ換気切替</t>
  </si>
  <si>
    <t>出典: HEX-1_vl-200zsd3_2_sn.pdf。急速ノッチを主要値として登録（排気200m3/h、給気90m3/h、消費電力59.5W、電流0.595A、騒音43dB）。ロスナイノッチ時は排気60m3/h、給気48m3/h、消費電力23W、電流0.23A、騒音27dB。交換効率はロスナイノッチ時の値。仕様書作成日2021-02-15。</t>
  </si>
  <si>
    <t>LGH-N25CX3</t>
  </si>
  <si>
    <t>業務用ロスナイ</t>
  </si>
  <si>
    <t>天井カセット形マイコンタイプ</t>
  </si>
  <si>
    <t>天井カセット</t>
  </si>
  <si>
    <t>ロスナイ換気・普通換気切換、強・弱切換</t>
  </si>
  <si>
    <t>出典: HEX-2_lgh-n25cx3_2_sn.pdf。60Hz・ロスナイ換気の強ノッチを主要値として登録（排気250m3/h、機外静圧80Pa、消費電力128W、電流1.28A、騒音32dB）。弱ノッチは排気125m3/h・20Pa・81W・0.85A・25dB、微弱は排気85m3/h・9Pa・44W・0.44A・20dB。交換効率は強ノッチ。仕様書作成日2023-01-25。</t>
  </si>
  <si>
    <t>2026-10-02</t>
  </si>
  <si>
    <t>VD-20ZC14</t>
  </si>
  <si>
    <t>低騒音形</t>
  </si>
  <si>
    <t>出典: EF-2_vd-20zc14_0_sn.pdf。主要電気値は50Hz定格時：風量420m3/h、消費電力44W、運転電流0.5A、騒音36.5dB。60Hz定格時：風量420m3/h、消費電力49W、運転電流0.55A、騒音36.5dB。仕様書作成日2024-02-01。STATIC_PRESSUREは仕様表に設計点の明記がないため空欄。MODEL_STATUSは資料内に現行/旧型の明記がないため不明。</t>
  </si>
  <si>
    <t>VD-20ZP14</t>
  </si>
  <si>
    <t>強/弱</t>
  </si>
  <si>
    <t>出典: EF-2_vd-20zp14_0_sn.pdf。主要値は50Hz・強運転：風量520m3/h、消費電力58W、運転電流0.67A、騒音44.5dB。50Hz弱：330m3/h、28W、0.47A、33dB。60Hz強：520m3/h、66W、0.70A、44.5dB。60Hz弱：330m3/h、30W、0.49A、33dB。仕様書作成日2025-12-01。STATIC_PRESSUREは仕様表に単一の設計点記載がないため空欄。MODEL_STATUSは資料内に現行/旧型の明記がないため不明。</t>
  </si>
  <si>
    <t>産業用有圧換気扇</t>
  </si>
  <si>
    <t>EWF-35DSA2</t>
  </si>
  <si>
    <t>低騒音形・排気タイプ</t>
  </si>
  <si>
    <t>壁取付</t>
  </si>
  <si>
    <t>出典: EA-1_ewf-35dsa2_2_sn.pdf。排気専用。60Hz、単相100V。フリーエアー時：風量3600m3/h、消費電力175W、電流1.78A、騒音45.5dB。最大負荷電流2.84A、起動電流6.57A、公称出力150W。35cm金属製軸流羽根。STATIC_PRESSUREは単一設計点の記載がないため空欄。MODEL_STATUSは資料内に現行/旧型の明記がないため不明。仕様書作成日2022-03-24。</t>
  </si>
  <si>
    <t>EWF-35DSA2-Q</t>
  </si>
  <si>
    <t>低騒音形・給気タイプ</t>
  </si>
  <si>
    <t>出典: OA-1_ewf-35dsa2-q_2_sn.pdf。給気専用。60Hz、単相100V。フリーエアー時：風量3600m3/h、消費電力181W、電流1.82A、騒音53dB。最大負荷電流2.45A、起動電流5.75A、公称出力150W。35cm金属製軸流羽根。STATIC_PRESSUREは単一設計点の記載がないため空欄。MODEL_STATUSは資料内に現行/旧型の明記がないため不明。仕様書作成日2022-03-24。</t>
  </si>
  <si>
    <t>EWF-35DTA2</t>
  </si>
  <si>
    <t>出典: EA-1_ewf-35dta2_2_sn.pdf。排気専用。60Hz、三相200-220V。200Vフリーエアー時：風量3600m3/h、消費電力168W、電流0.75A、騒音45.5dB。220V時：消費電力176W、電流0.80A。最大負荷電流1.06-1.05A、起動電流3.63-3.97A、公称出力150W。35cm金属製軸流羽根。STATIC_PRESSUREは単一設計点の記載がないため空欄。MODEL_STATUSは資料内に現行/旧型の明記がないため不明。仕様書作成日2022-03-24。</t>
  </si>
  <si>
    <t>EWF-35DTA2-Q</t>
  </si>
  <si>
    <t>出典: OA-1_ewf-35dta2-q_2_sn.pdf。給気専用。60Hz、三相200-220V。200Vフリーエアー時：風量3600m3/h、消費電力174W、電流0.72A、騒音52.5dB。220V時：消費電力178W、電流0.74A、騒音53dB。最大負荷電流1.05A、起動電流3.59-3.96A、公称出力150W。35cm金属製軸流羽根。STATIC_PRESSUREは単一設計点の記載がないため空欄。MODEL_STATUSは資料内に現行/旧型の明記がないため不明。仕様書作成日2022-03-24。</t>
  </si>
  <si>
    <t>VD-18ZVC7</t>
  </si>
  <si>
    <t>24時間換気・定風量・急速/強/弱切替</t>
  </si>
  <si>
    <t>出典: EF-2vd-18zvc7_0_sn.pdf。仕様書作成日2024-02-01。急速運転時：開放風量430m3/h、消費電力18W、運転電流0.37A、騒音38dB。パイプ長20m時有効換気量350m3/h、30m時320m3/h。急速時の静圧は仕様表に代表値の記載がないため空欄。24時間換気時：風量300m3/h、静圧65Pa、7W、0.175A、29dB。MODEL_STATUSは資料内に現行/旧型の明記がないため不明。</t>
  </si>
  <si>
    <t>VD-23ZVB7</t>
  </si>
  <si>
    <t>出典: EF-3vd-23zvb7_0_sn.pdf。仕様書作成日2025-12-01。急速運転時：開放風量800m3/h、消費電力95W、運転電流1.6A、騒音52dB。パイプ長20m時有効換気量600m3/h、30m時540m3/h。急速時の静圧は仕様表に代表値の記載がないため空欄。24時間換気時：風量480m3/h、静圧150Pa、22W、0.45A、39.5dB。MODEL_STATUSは資料内に現行/旧型の明記がないため不明。</t>
  </si>
  <si>
    <t>EWF-20YSA2</t>
  </si>
  <si>
    <t>出典: EA-1ewf-20ysa2_2_sn.pdf。排気専用。60Hz、単相100V。フリーエアー時：風量780m3/h、消費電力28W、電流0.30A、騒音31dB。最大負荷電流0.37A、起動電流0.64A、公称出力15W。20cm金属製軸流羽根。STATIC_PRESSUREは単一設計点の記載がないため空欄。MODEL_STATUSは資料内に現行/旧型の明記がないため不明。仕様書作成日2022-03-24。</t>
  </si>
  <si>
    <t>EWF-20YSA2-Q</t>
  </si>
  <si>
    <t>出典: OA-1ewf-20ysa2-q_2_sn.pdf。給気専用。60Hz、単相100V。フリーエアー時：風量780m3/h、消費電力33W、電流0.34A、騒音37dB。最大負荷電流0.41A、起動電流0.69A、公称出力15W。20cm金属製軸流羽根。STATIC_PRESSUREは単一設計点の記載がないため空欄。MODEL_STATUSは資料内に現行/旧型の明記がないため不明。仕様書作成日2022-03-24。</t>
  </si>
  <si>
    <t>SHAPE</t>
  </si>
  <si>
    <t>DIA</t>
  </si>
  <si>
    <t>FD</t>
  </si>
  <si>
    <t>MATERIAL</t>
  </si>
  <si>
    <t>MESH</t>
  </si>
  <si>
    <t>MESH_SPEC</t>
  </si>
  <si>
    <t>FD_TEMP</t>
  </si>
  <si>
    <t>SOUND</t>
  </si>
  <si>
    <t>MANUFACTURER</t>
  </si>
  <si>
    <t>SPEC_NOTE</t>
  </si>
  <si>
    <t>APPROVED</t>
  </si>
  <si>
    <t>SOURCE_URL</t>
  </si>
  <si>
    <t>CHECKED_DATE</t>
  </si>
  <si>
    <t>形状</t>
  </si>
  <si>
    <t>ダクト径 [mm]</t>
  </si>
  <si>
    <t>FD有無</t>
  </si>
  <si>
    <t>材質</t>
  </si>
  <si>
    <t>防虫網有無</t>
  </si>
  <si>
    <t>網目 [メッシュ]</t>
  </si>
  <si>
    <t>FD温度 [℃]</t>
  </si>
  <si>
    <t>防音指定</t>
  </si>
  <si>
    <t>参考型番</t>
  </si>
  <si>
    <t>仕様文</t>
  </si>
  <si>
    <t>承認済み=1</t>
  </si>
  <si>
    <t>出典URL</t>
  </si>
  <si>
    <t>確認日</t>
  </si>
  <si>
    <t>深型</t>
  </si>
  <si>
    <t>なし</t>
  </si>
  <si>
    <t>SUS</t>
  </si>
  <si>
    <t>P-07VS4</t>
  </si>
  <si>
    <t>通常深形フード</t>
  </si>
  <si>
    <t>https://dl.mitsubishielectric.co.jp/dl/ldg/wink/ssl/wink_doc/m_contents/wink/FAN_IB/2411876ha9102_ibim.pdf</t>
  </si>
  <si>
    <t>P-13VS4</t>
  </si>
  <si>
    <t>P-15VS4</t>
  </si>
  <si>
    <t>P-18VS4</t>
  </si>
  <si>
    <t>P-21VS4</t>
  </si>
  <si>
    <t>P-23VS4</t>
  </si>
  <si>
    <t>あり</t>
  </si>
  <si>
    <t>P-13VSQ4</t>
  </si>
  <si>
    <t>P-18VSQ4</t>
  </si>
  <si>
    <t>P-21VSQ4</t>
  </si>
  <si>
    <t>P-23VSQ4</t>
  </si>
  <si>
    <t>P-07VSD4</t>
  </si>
  <si>
    <t>https://dl.mitsubishielectric.co.jp/dl/ldg/wink/ssl/wink_doc/m_contents/wink/FAN_IM/2411876hb6902_ibim.pdf</t>
  </si>
  <si>
    <t>P-13VSD4</t>
  </si>
  <si>
    <t>P-18VSD4</t>
  </si>
  <si>
    <t>P-21VSD4</t>
  </si>
  <si>
    <t>P-23VSD4</t>
  </si>
  <si>
    <t>P-13VSQD4</t>
  </si>
  <si>
    <t>P-18VSQD4</t>
  </si>
  <si>
    <t>P-21VSQD4</t>
  </si>
  <si>
    <t>P-23VSQD4</t>
  </si>
  <si>
    <t>P-18VSSQD3</t>
  </si>
  <si>
    <t>防音タイプ深形フード</t>
  </si>
  <si>
    <t>https://www.mitsubishielectric.co.jp/ldg/wink/ssl/displayProduct.do?pid=129409</t>
  </si>
  <si>
    <t>平型</t>
  </si>
  <si>
    <t>UNIX</t>
  </si>
  <si>
    <t>BSW100SB10M</t>
  </si>
  <si>
    <t>フラットカバー付BSW-SB初期案</t>
  </si>
  <si>
    <t>https://www.unix-coltd.co.jp/wp-content/themes/neos/product_files/download_files/BSW-SB10M-draw.pdf</t>
  </si>
  <si>
    <t>BSW125SB10M</t>
  </si>
  <si>
    <t>BSW150SB10M</t>
  </si>
  <si>
    <t>BSW175SB10M</t>
  </si>
  <si>
    <t>BSW200SB10M</t>
  </si>
  <si>
    <t>BSW250SB10M</t>
  </si>
  <si>
    <t>BSW300SB10M</t>
  </si>
  <si>
    <t>室内給気口品番</t>
  </si>
  <si>
    <t>適用径 [mm]</t>
  </si>
  <si>
    <t>室内仕様文</t>
  </si>
  <si>
    <t>P-13WQU</t>
  </si>
  <si>
    <t>外気清浄フィルター付き（カテキン入り・不織布）</t>
  </si>
  <si>
    <t>https://www.mitsubishielectric.co.jp/ldg/wink/ssl/displayProduct.do?pid=142540</t>
  </si>
  <si>
    <t>設定項目</t>
  </si>
  <si>
    <t>値</t>
  </si>
  <si>
    <t>TEST</t>
  </si>
  <si>
    <t>fixture</t>
  </si>
  <si>
    <t>区分</t>
  </si>
  <si>
    <t>GARARI</t>
  </si>
  <si>
    <t>ハンドル</t>
  </si>
  <si>
    <t>レイヤ</t>
  </si>
  <si>
    <t>X</t>
  </si>
  <si>
    <t>Y</t>
  </si>
  <si>
    <t>Z</t>
  </si>
  <si>
    <t>項目</t>
  </si>
  <si>
    <t>原因</t>
  </si>
  <si>
    <t>正常</t>
  </si>
  <si>
    <t>01</t>
  </si>
  <si>
    <t>1</t>
  </si>
  <si>
    <t>2</t>
  </si>
  <si>
    <t>3</t>
  </si>
  <si>
    <t>警告</t>
  </si>
  <si>
    <t>a</t>
  </si>
  <si>
    <t>4</t>
  </si>
  <si>
    <t>ROOM</t>
  </si>
  <si>
    <t>セットの組合せ・施工適合要確認</t>
  </si>
  <si>
    <t>5</t>
  </si>
  <si>
    <t>選定未登録：平型/150/あり/SUS/あり/10/72/なし</t>
  </si>
  <si>
    <t>DWG</t>
  </si>
  <si>
    <t>HANDLE</t>
  </si>
  <si>
    <t>EffectiveName</t>
  </si>
  <si>
    <t>LAYER</t>
  </si>
  <si>
    <t>選択階</t>
  </si>
  <si>
    <t>階</t>
  </si>
  <si>
    <t>状態</t>
  </si>
  <si>
    <t>屋外品番</t>
  </si>
  <si>
    <t>室内品番</t>
  </si>
  <si>
    <t>エラー</t>
  </si>
  <si>
    <t>全原属性（重複含む）</t>
  </si>
  <si>
    <t>RAW_GARARI</t>
  </si>
  <si>
    <t>NORM_GARARI</t>
  </si>
  <si>
    <t>RAW_DIA</t>
  </si>
  <si>
    <t>NORM_DIA</t>
  </si>
  <si>
    <t>RAW_FD</t>
  </si>
  <si>
    <t>NORM_FD</t>
  </si>
  <si>
    <t>RAW_SHAPE</t>
  </si>
  <si>
    <t>NORM_SHAPE</t>
  </si>
  <si>
    <t>RAW_MATERIAL</t>
  </si>
  <si>
    <t>NORM_MATERIAL</t>
  </si>
  <si>
    <t>RAW_MESH</t>
  </si>
  <si>
    <t>NORM_MESH</t>
  </si>
  <si>
    <t>RAW_ROOM</t>
  </si>
  <si>
    <t>NORM_ROOM</t>
  </si>
  <si>
    <t>RAW_FLOOR</t>
  </si>
  <si>
    <t>NORM_FLOOR</t>
  </si>
  <si>
    <t>RAW_SOUND</t>
  </si>
  <si>
    <t>NORM_SOUND</t>
  </si>
  <si>
    <t>fixture.dwg</t>
  </si>
  <si>
    <t>1F</t>
  </si>
  <si>
    <t>(("GARARI" . "01") ("DIA" . "150") ("FD" . "あり") ("SHAPE" . "深型") ("MATERIAL" . "SUS") ("MESH" . "あり") ("ROOM" . "なし"))</t>
  </si>
  <si>
    <t>150</t>
  </si>
  <si>
    <t>10</t>
  </si>
  <si>
    <t>72</t>
  </si>
  <si>
    <t>2F</t>
  </si>
  <si>
    <t>(("GARARI" . "a") ("DIA" . "100") ("FD" . "あり") ("SHAPE" . "深型") ("MATERIAL" . "SUS") ("MESH" . "あり") ("ROOM" . "P-13WQU"))</t>
  </si>
  <si>
    <t>100</t>
  </si>
  <si>
    <t>要選定</t>
  </si>
  <si>
    <t>(("GARARI" . "=1+1") ("DIA" . "150") ("FD" . "あり") ("SHAPE" . "平型") ("MATERIAL" . "SUS") ("MESH" . "あり") ("ROOM" . "なし"))</t>
  </si>
  <si>
    <t>記号</t>
  </si>
  <si>
    <t>機器仕様</t>
  </si>
  <si>
    <t>数量</t>
  </si>
  <si>
    <t>ガラリ</t>
  </si>
  <si>
    <t>150φ、FD付き（72℃）、SUS、防虫網付き（10メッシュ）
通常深形フード</t>
  </si>
  <si>
    <t>屋外：P-18VSQD4</t>
  </si>
  <si>
    <t>自然給気口＋ガラリ</t>
  </si>
  <si>
    <t>屋外：三菱電機／室内：三菱電機</t>
  </si>
  <si>
    <t>100φ、FD付き（72℃）、SUS、防虫網付き（10メッシュ）
室内：外気清浄フィルター付き（カテキン入り・不織布）
通常深形フード</t>
  </si>
  <si>
    <t>深型／セットの組合せ・施工適合要確認</t>
  </si>
  <si>
    <t>屋外：P-13VSQD4</t>
  </si>
  <si>
    <t>室内：P-13WQU</t>
  </si>
  <si>
    <t>屋外メーカー要確認</t>
  </si>
  <si>
    <t>150φ、FD付き（72℃）、SUS、防虫網付き（10メッシュ）</t>
  </si>
  <si>
    <t>平型／選定未登録：平型/150/あり/SUS/あり/10/72/なし</t>
  </si>
  <si>
    <t>屋外：要選定</t>
  </si>
  <si>
    <t>CASE</t>
  </si>
  <si>
    <t>FLOOR</t>
  </si>
  <si>
    <t>EXPECTED_OUTDOOR</t>
  </si>
  <si>
    <t>EXPECTED_INDOOR</t>
  </si>
  <si>
    <t>EXPECTED_QTY</t>
  </si>
  <si>
    <t>EXPECTED_STATUS</t>
  </si>
  <si>
    <t>A</t>
  </si>
  <si>
    <t>B1</t>
  </si>
  <si>
    <t>B2</t>
  </si>
  <si>
    <t>正常（B全体で数量3）</t>
  </si>
  <si>
    <t>C</t>
  </si>
  <si>
    <t>要確認（セット施工適合）</t>
  </si>
  <si>
    <t>E</t>
  </si>
  <si>
    <t>F</t>
  </si>
  <si>
    <t>G1</t>
  </si>
  <si>
    <t>要確認（G2と同一記号仕様不一致）</t>
  </si>
  <si>
    <t>G2</t>
  </si>
  <si>
    <t>要確認（G1と同一記号仕様不一致）</t>
  </si>
  <si>
    <t>H1</t>
  </si>
  <si>
    <t>正常（H2と別行）</t>
  </si>
  <si>
    <t>H2</t>
  </si>
  <si>
    <t>正常（H1と別行）</t>
  </si>
  <si>
    <t>I</t>
  </si>
  <si>
    <t>品番未入力</t>
  </si>
  <si>
    <t>J</t>
  </si>
  <si>
    <t>150×100</t>
  </si>
  <si>
    <t>エラー（数量保持）</t>
  </si>
  <si>
    <t>M</t>
  </si>
  <si>
    <t>正常（01文字列）</t>
  </si>
  <si>
    <t>N</t>
  </si>
  <si>
    <t>エラー（A条件のマスター承認行を重複させる）</t>
  </si>
  <si>
    <t>O</t>
  </si>
  <si>
    <t>エラー（室内適用径不一致）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</si>
</sst>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0.####"/>
  </numFmts>
  <fonts count="17">
    <font>
      <sz val="11"/>
      <color theme="1"/>
      <name val="ＭＳ Ｐゴシック"/>
      <family val="2"/>
      <scheme val="minor"/>
    </font>
    <font>
      <b/>
      <sz val="11"/>
      <color rgb="FFFFFFFF"/>
      <name val="ＭＳ Ｐゴシック"/>
      <family val="3"/>
      <charset val="128"/>
    </font>
    <font>
      <sz val="11"/>
      <color rgb="FF008000"/>
      <name val="ＭＳ Ｐゴシック"/>
      <family val="3"/>
      <charset val="128"/>
    </font>
    <font>
      <b/>
      <sz val="16"/>
      <color rgb="FFFFFFFF"/>
      <name val="ＭＳ Ｐゴシック"/>
      <family val="3"/>
      <charset val="128"/>
    </font>
    <font>
      <b/>
      <sz val="11"/>
      <color rgb="FF666666"/>
      <name val="ＭＳ Ｐゴシック"/>
      <family val="3"/>
      <charset val="128"/>
    </font>
    <font>
      <b/>
      <sz val="11"/>
      <name val="ＭＳ Ｐゴシック"/>
      <family val="3"/>
      <charset val="128"/>
    </font>
    <font>
      <sz val="11"/>
      <name val="ＭＳ Ｐゴシック"/>
      <family val="3"/>
      <charset val="128"/>
      <scheme val="minor"/>
    </font>
    <font>
      <sz val="10"/>
      <color rgb="FF202020"/>
      <name val="Yu Gothic"/>
      <family val="3"/>
      <charset val="128"/>
    </font>
    <font>
      <b/>
      <sz val="10"/>
      <color rgb="FFFFFFFF"/>
      <name val="Yu Gothic"/>
      <family val="3"/>
      <charset val="128"/>
    </font>
    <font>
      <b/>
      <sz val="10"/>
      <color rgb="FF1F4E78"/>
      <name val="Yu Gothic"/>
      <family val="3"/>
      <charset val="128"/>
    </font>
    <font>
      <b/>
      <sz val="11"/>
      <color rgb="FF000000"/>
      <name val="ＭＳ Ｐゴシック"/>
      <family val="3"/>
      <charset val="128"/>
    </font>
    <font>
      <sz val="11"/>
      <color rgb="FF000000"/>
      <name val="ＭＳ Ｐゴシック"/>
      <family val="3"/>
      <charset val="128"/>
      <scheme val="minor"/>
    </font>
    <font>
      <sz val="11"/>
      <color rgb="FF000000"/>
      <name val="ＭＳ Ｐゴシック"/>
      <family val="3"/>
      <charset val="128"/>
    </font>
    <font>
      <sz val="6"/>
      <name val="ＭＳ Ｐゴシック"/>
      <family val="3"/>
      <charset val="128"/>
      <scheme val="minor"/>
    </font>
    <font>
      <sz val="10"/>
      <color theme="1"/>
      <name val="ＭＳ Ｐゴシック"/>
      <family val="2"/>
      <scheme val="minor"/>
    </font>
    <font>
      <b/>
      <sz val="10"/>
      <color rgb="FFFFFFFF"/>
      <name val="ＭＳ Ｐゴシック"/>
      <family val="2"/>
      <scheme val="minor"/>
    </font>
    <font>
      <b/>
      <sz val="11"/>
      <color theme="1"/>
      <name val="ＭＳ Ｐゴシック"/>
      <family val="2"/>
      <scheme val="minor"/>
    </font>
  </fonts>
  <fills count="7">
    <fill>
      <patternFill patternType="none"/>
    </fill>
    <fill>
      <patternFill patternType="gray125"/>
    </fill>
    <fill>
      <patternFill patternType="none"/>
    </fill>
    <fill>
      <patternFill patternType="solid">
        <fgColor rgb="FF5B9BD5"/>
      </patternFill>
    </fill>
    <fill>
      <patternFill patternType="solid">
        <fgColor rgb="FF1F4E78"/>
      </patternFill>
    </fill>
    <fill>
      <patternFill patternType="solid">
        <fgColor rgb="FFD9EAF7"/>
      </patternFill>
    </fill>
    <fill>
      <patternFill patternType="solid">
        <fgColor rgb="FF1F4E78"/>
      </patternFill>
    </fill>
  </fills>
  <borders count="2">
    <border>
      <left/>
      <right/>
      <top/>
      <bottom/>
      <diagonal/>
    </border>
    <border>
      <left/>
      <right/>
      <top/>
      <bottom/>
      <diagonal/>
    </border>
  </borders>
  <cellStyleXfs count="1">
    <xf numFmtId="0" fontId="0" fillId="2" borderId="1"/>
  </cellStyleXfs>
  <cellXfs count="42">
    <xf numFmtId="0" fontId="0" fillId="0" borderId="0" xfId="0" applyFill="1" applyBorder="1"/>
    <xf numFmtId="0" fontId="6" fillId="0" borderId="0" xfId="0" applyFont="1" applyFill="1" applyBorder="1"/>
    <xf numFmtId="0" fontId="7" fillId="2" borderId="1" xfId="0" applyFont="1" applyAlignment="1">
      <alignment vertical="center"/>
    </xf>
    <xf numFmtId="0" fontId="8" fillId="4" borderId="1" xfId="0" applyFont="1" applyFill="1" applyAlignment="1">
      <alignment horizontal="center" vertical="center"/>
    </xf>
    <xf numFmtId="0" fontId="9" fillId="5" borderId="1" xfId="0" applyFont="1" applyFill="1" applyAlignment="1">
      <alignment horizontal="center" vertical="center"/>
    </xf>
    <xf numFmtId="1" fontId="7" fillId="2" borderId="1" xfId="0" applyNumberFormat="1" applyFont="1" applyAlignment="1">
      <alignment vertical="center"/>
    </xf>
    <xf numFmtId="49" fontId="7" fillId="2" borderId="1" xfId="0" applyNumberFormat="1" applyFont="1" applyAlignment="1">
      <alignment vertical="center"/>
    </xf>
    <xf numFmtId="176" fontId="7" fillId="2" borderId="1" xfId="0" applyNumberFormat="1" applyFont="1" applyAlignment="1">
      <alignment vertical="center"/>
    </xf>
    <xf numFmtId="0" fontId="7" fillId="2" borderId="1" xfId="0" applyFont="1" applyAlignment="1">
      <alignment vertical="center" wrapText="1"/>
    </xf>
    <xf numFmtId="0" fontId="10" fillId="2" borderId="1" xfId="0" applyFont="1" applyAlignment="1">
      <alignment horizontal="center" vertical="center" wrapText="1"/>
    </xf>
    <xf numFmtId="49" fontId="10" fillId="2" borderId="1" xfId="0" applyNumberFormat="1" applyFont="1" applyAlignment="1">
      <alignment horizontal="center" vertical="center" wrapText="1"/>
    </xf>
    <xf numFmtId="1" fontId="10" fillId="2" borderId="1" xfId="0" applyNumberFormat="1" applyFont="1" applyAlignment="1">
      <alignment horizontal="center" vertical="center" wrapText="1"/>
    </xf>
    <xf numFmtId="177" fontId="10" fillId="2" borderId="1" xfId="0" applyNumberFormat="1" applyFont="1" applyAlignment="1">
      <alignment horizontal="center" vertical="center" wrapText="1"/>
    </xf>
    <xf numFmtId="0" fontId="11" fillId="2" borderId="1" xfId="0" applyFont="1"/>
    <xf numFmtId="0" fontId="0" fillId="2" borderId="1" xfId="0" applyAlignment="1">
      <alignment vertical="top" wrapText="1"/>
    </xf>
    <xf numFmtId="0" fontId="1" fillId="4" borderId="1" xfId="0" applyFont="1" applyFill="1" applyAlignment="1">
      <alignment horizontal="center" vertical="center" wrapText="1"/>
    </xf>
    <xf numFmtId="0" fontId="1" fillId="3" borderId="1" xfId="0" applyFont="1" applyFill="1" applyAlignment="1">
      <alignment horizontal="center" vertical="center" wrapText="1"/>
    </xf>
    <xf numFmtId="0" fontId="2" fillId="2" borderId="1" xfId="0" applyFont="1" applyAlignment="1">
      <alignment vertical="top" wrapText="1"/>
    </xf>
    <xf numFmtId="49" fontId="2" fillId="2" borderId="1" xfId="0" applyNumberFormat="1" applyFont="1" applyAlignment="1">
      <alignment vertical="top" wrapText="1"/>
    </xf>
    <xf numFmtId="0" fontId="0" fillId="2" borderId="1" xfId="0"/>
    <xf numFmtId="0" fontId="4" fillId="2" borderId="1" xfId="0" applyFont="1"/>
    <xf numFmtId="0" fontId="5" fillId="2" borderId="1" xfId="0" applyFont="1" applyAlignment="1">
      <alignment horizontal="center" vertical="center" wrapText="1"/>
    </xf>
    <xf numFmtId="49" fontId="5" fillId="2" borderId="1" xfId="0" applyNumberFormat="1" applyFont="1" applyAlignment="1">
      <alignment horizontal="center" vertical="center" wrapText="1"/>
    </xf>
    <xf numFmtId="1" fontId="5" fillId="2" borderId="1" xfId="0" applyNumberFormat="1" applyFont="1" applyAlignment="1">
      <alignment horizontal="center" vertical="center" wrapText="1"/>
    </xf>
    <xf numFmtId="177" fontId="5" fillId="2" borderId="1" xfId="0" applyNumberFormat="1" applyFont="1" applyAlignment="1">
      <alignment horizontal="center" vertical="center" wrapText="1"/>
    </xf>
    <xf numFmtId="0" fontId="6" fillId="2" borderId="1" xfId="0" applyFont="1"/>
    <xf numFmtId="0" fontId="12" fillId="2" borderId="1" xfId="0" applyFont="1" applyAlignment="1">
      <alignment vertical="top" wrapText="1"/>
    </xf>
    <xf numFmtId="49" fontId="12" fillId="2" borderId="1" xfId="0" applyNumberFormat="1" applyFont="1" applyAlignment="1">
      <alignment vertical="top" wrapText="1"/>
    </xf>
    <xf numFmtId="0" fontId="14" fillId="0" borderId="0" xfId="0" applyFont="1" applyFill="1" applyBorder="1" applyAlignment="1">
      <alignment vertical="center"/>
    </xf>
    <xf numFmtId="49" fontId="14" fillId="0" borderId="0" xfId="0" applyNumberFormat="1" applyFont="1" applyFill="1" applyBorder="1" applyAlignment="1">
      <alignment vertical="center" wrapText="1"/>
    </xf>
    <xf numFmtId="49" fontId="15" fillId="6" borderId="0" xfId="0" applyNumberFormat="1" applyFont="1" applyFill="1" applyBorder="1" applyAlignment="1">
      <alignment vertical="center" wrapText="1"/>
    </xf>
    <xf numFmtId="1" fontId="14" fillId="0" borderId="0" xfId="0" applyNumberFormat="1" applyFont="1" applyFill="1" applyBorder="1" applyAlignment="1">
      <alignment vertical="center" wrapText="1"/>
    </xf>
    <xf numFmtId="1" fontId="15" fillId="6" borderId="0" xfId="0" applyNumberFormat="1" applyFont="1" applyFill="1" applyBorder="1" applyAlignment="1">
      <alignment vertical="center" wrapText="1"/>
    </xf>
    <xf numFmtId="0" fontId="15" fillId="6" borderId="0" xfId="0" applyFont="1" applyFill="1" applyBorder="1" applyAlignment="1">
      <alignment vertical="center" wrapText="1"/>
    </xf>
    <xf numFmtId="0" fontId="16" fillId="0" borderId="0" xfId="0" applyFont="1" applyFill="1" applyBorder="1"/>
    <xf numFmtId="0" fontId="0" fillId="2" borderId="1" xfId="0" applyAlignment="1">
      <alignment vertical="top" wrapText="1"/>
    </xf>
    <xf numFmtId="0" fontId="0" fillId="0" borderId="0" xfId="0" applyFill="1" applyBorder="1"/>
    <xf numFmtId="0" fontId="3" fillId="4" borderId="1" xfId="0" applyFont="1" applyFill="1"/>
    <xf numFmtId="0" fontId="0" fillId="0" borderId="0" xfId="0" applyFill="1" applyBorder="1" applyAlignment="1">
      <alignment wrapText="1"/>
    </xf>
    <xf numFmtId="49" fontId="14" fillId="0" borderId="0" xfId="0" applyNumberFormat="1" applyFont="1" applyFill="1" applyBorder="1" applyAlignment="1">
      <alignment vertical="center" wrapText="1"/>
    </xf>
    <xf numFmtId="0" fontId="14" fillId="0" borderId="0" xfId="0" applyFont="1" applyFill="1" applyBorder="1" applyAlignment="1">
      <alignment vertical="center" wrapText="1"/>
    </xf>
    <xf numFmtId="1" fontId="14" fillId="0" borderId="0" xfId="0" applyNumberFormat="1" applyFont="1" applyFill="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arariMasterTable" displayName="GarariMasterTable" ref="A2:N29" totalsRowShown="0">
  <tableColumns count="14">
    <tableColumn id="1" xr3:uid="{00000000-0010-0000-0000-000001000000}" name="形状"/>
    <tableColumn id="2" xr3:uid="{00000000-0010-0000-0000-000002000000}" name="ダクト径 [mm]"/>
    <tableColumn id="3" xr3:uid="{00000000-0010-0000-0000-000003000000}" name="FD有無"/>
    <tableColumn id="4" xr3:uid="{00000000-0010-0000-0000-000004000000}" name="材質"/>
    <tableColumn id="5" xr3:uid="{00000000-0010-0000-0000-000005000000}" name="防虫網有無"/>
    <tableColumn id="6" xr3:uid="{00000000-0010-0000-0000-000006000000}" name="網目 [メッシュ]"/>
    <tableColumn id="7" xr3:uid="{00000000-0010-0000-0000-000007000000}" name="FD温度 [℃]"/>
    <tableColumn id="8" xr3:uid="{00000000-0010-0000-0000-000008000000}" name="防音指定"/>
    <tableColumn id="9" xr3:uid="{00000000-0010-0000-0000-000009000000}" name="メーカー"/>
    <tableColumn id="10" xr3:uid="{00000000-0010-0000-0000-00000A000000}" name="参考型番"/>
    <tableColumn id="11" xr3:uid="{00000000-0010-0000-0000-00000B000000}" name="仕様文"/>
    <tableColumn id="12" xr3:uid="{00000000-0010-0000-0000-00000C000000}" name="承認済み=1"/>
    <tableColumn id="13" xr3:uid="{00000000-0010-0000-0000-00000D000000}" name="出典URL"/>
    <tableColumn id="14" xr3:uid="{00000000-0010-0000-0000-00000E000000}" name="確認日"/>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oomMasterTable" displayName="RoomMasterTable" ref="A2:G3" totalsRowShown="0">
  <tableColumns count="7">
    <tableColumn id="1" xr3:uid="{00000000-0010-0000-0100-000001000000}" name="室内給気口品番"/>
    <tableColumn id="2" xr3:uid="{00000000-0010-0000-0100-000002000000}" name="メーカー"/>
    <tableColumn id="3" xr3:uid="{00000000-0010-0000-0100-000003000000}" name="適用径 [mm]"/>
    <tableColumn id="4" xr3:uid="{00000000-0010-0000-0100-000004000000}" name="室内仕様文"/>
    <tableColumn id="5" xr3:uid="{00000000-0010-0000-0100-000005000000}" name="承認済み=1"/>
    <tableColumn id="6" xr3:uid="{00000000-0010-0000-0100-000006000000}" name="出典URL"/>
    <tableColumn id="7" xr3:uid="{00000000-0010-0000-0100-000007000000}" name="確認日"/>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
  <sheetViews>
    <sheetView showGridLines="0" workbookViewId="0"/>
  </sheetViews>
  <sheetFormatPr defaultRowHeight="13.2"/>
  <cols>
    <col min="1" max="1" width="34" customWidth="1"/>
    <col min="2" max="6" width="90" customWidth="1"/>
  </cols>
  <sheetData>
    <row r="1" spans="1:6" ht="18.899999999999999" customHeight="1">
      <c r="A1" s="37" t="s">
        <v>303</v>
      </c>
      <c r="B1" s="36"/>
      <c r="C1" s="36"/>
      <c r="D1" s="36"/>
      <c r="E1" s="36"/>
      <c r="F1" s="36"/>
    </row>
    <row r="3" spans="1:6" ht="38.1" customHeight="1">
      <c r="A3" s="20" t="s">
        <v>304</v>
      </c>
      <c r="B3" s="35" t="s">
        <v>305</v>
      </c>
      <c r="C3" s="36"/>
      <c r="D3" s="36"/>
      <c r="E3" s="36"/>
      <c r="F3" s="36"/>
    </row>
    <row r="4" spans="1:6" ht="38.1" customHeight="1">
      <c r="A4" s="20" t="s">
        <v>306</v>
      </c>
      <c r="B4" s="35" t="s">
        <v>307</v>
      </c>
      <c r="C4" s="36"/>
      <c r="D4" s="36"/>
      <c r="E4" s="36"/>
      <c r="F4" s="36"/>
    </row>
    <row r="5" spans="1:6" ht="38.1" customHeight="1">
      <c r="A5" s="20" t="s">
        <v>308</v>
      </c>
      <c r="B5" s="35" t="s">
        <v>309</v>
      </c>
      <c r="C5" s="36"/>
      <c r="D5" s="36"/>
      <c r="E5" s="36"/>
      <c r="F5" s="36"/>
    </row>
    <row r="6" spans="1:6" ht="38.1" customHeight="1">
      <c r="A6" s="20" t="s">
        <v>310</v>
      </c>
      <c r="B6" s="35" t="s">
        <v>311</v>
      </c>
      <c r="C6" s="36"/>
      <c r="D6" s="36"/>
      <c r="E6" s="36"/>
      <c r="F6" s="36"/>
    </row>
    <row r="7" spans="1:6" ht="38.1" customHeight="1">
      <c r="A7" s="20" t="s">
        <v>312</v>
      </c>
      <c r="B7" s="35" t="s">
        <v>313</v>
      </c>
      <c r="C7" s="36"/>
      <c r="D7" s="36"/>
      <c r="E7" s="36"/>
      <c r="F7" s="36"/>
    </row>
    <row r="8" spans="1:6" ht="38.1" customHeight="1">
      <c r="A8" s="20" t="s">
        <v>314</v>
      </c>
      <c r="B8" s="35" t="s">
        <v>315</v>
      </c>
      <c r="C8" s="36"/>
      <c r="D8" s="36"/>
      <c r="E8" s="36"/>
      <c r="F8" s="36"/>
    </row>
    <row r="10" spans="1:6" ht="26.1" customHeight="1">
      <c r="A10" s="20" t="s">
        <v>316</v>
      </c>
      <c r="B10" s="14" t="s">
        <v>317</v>
      </c>
      <c r="C10" s="19"/>
      <c r="D10" s="19"/>
      <c r="E10" s="19"/>
      <c r="F10" s="19"/>
    </row>
    <row r="11" spans="1:6" ht="26.1" customHeight="1">
      <c r="A11" s="20" t="s">
        <v>2</v>
      </c>
      <c r="B11" s="14" t="s">
        <v>318</v>
      </c>
      <c r="C11" s="19"/>
      <c r="D11" s="19"/>
      <c r="E11" s="19"/>
      <c r="F11" s="19"/>
    </row>
    <row r="12" spans="1:6">
      <c r="A12" s="20" t="s">
        <v>4</v>
      </c>
      <c r="B12" s="14" t="s">
        <v>319</v>
      </c>
      <c r="C12" s="19"/>
      <c r="D12" s="19"/>
      <c r="E12" s="19"/>
      <c r="F12" s="19"/>
    </row>
    <row r="13" spans="1:6" ht="26.1" customHeight="1">
      <c r="A13" s="20" t="s">
        <v>5</v>
      </c>
      <c r="B13" s="14" t="s">
        <v>320</v>
      </c>
      <c r="C13" s="19"/>
      <c r="D13" s="19"/>
      <c r="E13" s="19"/>
      <c r="F13" s="19"/>
    </row>
    <row r="14" spans="1:6">
      <c r="A14" s="20" t="s">
        <v>6</v>
      </c>
      <c r="B14" s="14" t="s">
        <v>321</v>
      </c>
      <c r="C14" s="19"/>
      <c r="D14" s="19"/>
      <c r="E14" s="19"/>
      <c r="F14" s="19"/>
    </row>
    <row r="15" spans="1:6">
      <c r="A15" s="20" t="s">
        <v>7</v>
      </c>
      <c r="B15" s="14" t="s">
        <v>322</v>
      </c>
      <c r="C15" s="19"/>
      <c r="D15" s="19"/>
      <c r="E15" s="19"/>
      <c r="F15" s="19"/>
    </row>
    <row r="16" spans="1:6">
      <c r="A16" s="20" t="s">
        <v>8</v>
      </c>
      <c r="B16" s="14" t="s">
        <v>323</v>
      </c>
      <c r="C16" s="19"/>
      <c r="D16" s="19"/>
      <c r="E16" s="19"/>
      <c r="F16" s="19"/>
    </row>
    <row r="17" spans="1:2">
      <c r="A17" s="20" t="s">
        <v>9</v>
      </c>
      <c r="B17" s="14" t="s">
        <v>324</v>
      </c>
    </row>
    <row r="18" spans="1:2" ht="26.1" customHeight="1">
      <c r="A18" s="20" t="s">
        <v>10</v>
      </c>
      <c r="B18" s="14" t="s">
        <v>325</v>
      </c>
    </row>
    <row r="19" spans="1:2">
      <c r="A19" s="20" t="s">
        <v>11</v>
      </c>
      <c r="B19" s="14" t="s">
        <v>326</v>
      </c>
    </row>
    <row r="20" spans="1:2">
      <c r="A20" s="20" t="s">
        <v>12</v>
      </c>
      <c r="B20" s="14" t="s">
        <v>327</v>
      </c>
    </row>
    <row r="21" spans="1:2">
      <c r="A21" s="20" t="s">
        <v>13</v>
      </c>
      <c r="B21" s="14" t="s">
        <v>328</v>
      </c>
    </row>
    <row r="22" spans="1:2">
      <c r="A22" s="20" t="s">
        <v>329</v>
      </c>
      <c r="B22" s="14" t="s">
        <v>330</v>
      </c>
    </row>
    <row r="23" spans="1:2" ht="26.1" customHeight="1">
      <c r="A23" s="20" t="s">
        <v>331</v>
      </c>
      <c r="B23" s="14" t="s">
        <v>332</v>
      </c>
    </row>
    <row r="25" spans="1:2">
      <c r="A25" s="19" t="s">
        <v>333</v>
      </c>
      <c r="B25" s="19" t="s">
        <v>334</v>
      </c>
    </row>
    <row r="26" spans="1:2">
      <c r="A26" s="19" t="s">
        <v>335</v>
      </c>
      <c r="B26" s="19" t="s">
        <v>336</v>
      </c>
    </row>
    <row r="27" spans="1:2">
      <c r="A27" s="19" t="s">
        <v>337</v>
      </c>
      <c r="B27" s="19" t="s">
        <v>338</v>
      </c>
    </row>
    <row r="28" spans="1:2">
      <c r="A28" s="19" t="s">
        <v>310</v>
      </c>
      <c r="B28" s="19" t="s">
        <v>339</v>
      </c>
    </row>
    <row r="29" spans="1:2">
      <c r="A29" s="19" t="s">
        <v>331</v>
      </c>
      <c r="B29" s="19" t="s">
        <v>340</v>
      </c>
    </row>
    <row r="31" spans="1:2">
      <c r="A31" s="19" t="s">
        <v>3</v>
      </c>
      <c r="B31" s="19" t="s">
        <v>341</v>
      </c>
    </row>
    <row r="32" spans="1:2">
      <c r="A32" s="19" t="s">
        <v>342</v>
      </c>
      <c r="B32" s="19" t="s">
        <v>343</v>
      </c>
    </row>
    <row r="33" spans="1:6">
      <c r="A33" s="19" t="s">
        <v>344</v>
      </c>
      <c r="B33" s="19" t="s">
        <v>345</v>
      </c>
    </row>
    <row r="35" spans="1:6" ht="36" customHeight="1">
      <c r="A35" s="34" t="s">
        <v>346</v>
      </c>
      <c r="B35" s="38" t="s">
        <v>347</v>
      </c>
      <c r="C35" s="38"/>
      <c r="D35" s="38"/>
      <c r="E35" s="38"/>
      <c r="F35" s="38"/>
    </row>
    <row r="36" spans="1:6" ht="36" customHeight="1">
      <c r="A36" s="34" t="s">
        <v>348</v>
      </c>
      <c r="B36" s="38" t="s">
        <v>349</v>
      </c>
      <c r="C36" s="38"/>
      <c r="D36" s="38"/>
      <c r="E36" s="38"/>
      <c r="F36" s="38"/>
    </row>
    <row r="37" spans="1:6" ht="36" customHeight="1">
      <c r="A37" s="34" t="s">
        <v>350</v>
      </c>
      <c r="B37" s="38" t="s">
        <v>351</v>
      </c>
      <c r="C37" s="38"/>
      <c r="D37" s="38"/>
      <c r="E37" s="38"/>
      <c r="F37" s="38"/>
    </row>
    <row r="38" spans="1:6" ht="36" customHeight="1">
      <c r="A38" s="34" t="s">
        <v>352</v>
      </c>
      <c r="B38" s="38" t="s">
        <v>353</v>
      </c>
      <c r="C38" s="38"/>
      <c r="D38" s="38"/>
      <c r="E38" s="38"/>
      <c r="F38" s="38"/>
    </row>
    <row r="39" spans="1:6" ht="36" customHeight="1">
      <c r="A39" s="34" t="s">
        <v>354</v>
      </c>
      <c r="B39" s="38" t="s">
        <v>355</v>
      </c>
      <c r="C39" s="38"/>
      <c r="D39" s="38"/>
      <c r="E39" s="38"/>
      <c r="F39" s="38"/>
    </row>
    <row r="40" spans="1:6" ht="36" customHeight="1">
      <c r="A40" s="34" t="s">
        <v>356</v>
      </c>
      <c r="B40" s="38" t="s">
        <v>357</v>
      </c>
      <c r="C40" s="38"/>
      <c r="D40" s="38"/>
      <c r="E40" s="38"/>
      <c r="F40" s="38"/>
    </row>
  </sheetData>
  <mergeCells count="13">
    <mergeCell ref="B39:F39"/>
    <mergeCell ref="B40:F40"/>
    <mergeCell ref="B8:F8"/>
    <mergeCell ref="B35:F35"/>
    <mergeCell ref="B36:F36"/>
    <mergeCell ref="B37:F37"/>
    <mergeCell ref="B38:F38"/>
    <mergeCell ref="B4:F4"/>
    <mergeCell ref="B7:F7"/>
    <mergeCell ref="B6:F6"/>
    <mergeCell ref="A1:F1"/>
    <mergeCell ref="B3:F3"/>
    <mergeCell ref="B5:F5"/>
  </mergeCells>
  <phoneticPr fontId="1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38"/>
  <sheetViews>
    <sheetView showGridLines="0" tabSelected="1" workbookViewId="0">
      <pane ySplit="2" topLeftCell="A24" activePane="bottomLeft" state="frozen"/>
      <selection pane="bottomLeft"/>
    </sheetView>
  </sheetViews>
  <sheetFormatPr defaultRowHeight="13.2"/>
  <cols>
    <col min="1" max="1" width="22" customWidth="1"/>
    <col min="2" max="2" width="12" customWidth="1"/>
    <col min="3" max="8" width="16" customWidth="1"/>
    <col min="9" max="9" width="20" customWidth="1"/>
    <col min="10" max="10" width="28" customWidth="1"/>
    <col min="11" max="12" width="14" customWidth="1"/>
    <col min="13" max="13" width="20" customWidth="1"/>
    <col min="14" max="14" width="12" customWidth="1"/>
    <col min="15" max="17" width="13" customWidth="1"/>
    <col min="18" max="18" width="12" customWidth="1"/>
    <col min="19" max="19" width="14" customWidth="1"/>
    <col min="20" max="21" width="13" customWidth="1"/>
    <col min="22" max="22" width="12" customWidth="1"/>
    <col min="23" max="26" width="13" customWidth="1"/>
    <col min="27" max="27" width="12" customWidth="1"/>
    <col min="28" max="29" width="20" customWidth="1"/>
    <col min="30" max="31" width="16" customWidth="1"/>
    <col min="32" max="33" width="20" customWidth="1"/>
    <col min="34" max="45" width="16" customWidth="1"/>
    <col min="46" max="46" width="18" customWidth="1"/>
    <col min="47" max="47" width="16" customWidth="1"/>
    <col min="48" max="48" width="28" customWidth="1"/>
  </cols>
  <sheetData>
    <row r="1" spans="1:49" ht="27.9" customHeight="1">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5" t="s">
        <v>37</v>
      </c>
      <c r="AM1" s="15" t="s">
        <v>38</v>
      </c>
      <c r="AN1" s="15" t="s">
        <v>39</v>
      </c>
      <c r="AO1" s="15" t="s">
        <v>40</v>
      </c>
      <c r="AP1" s="15" t="s">
        <v>41</v>
      </c>
      <c r="AQ1" s="15" t="s">
        <v>42</v>
      </c>
      <c r="AR1" s="15" t="s">
        <v>43</v>
      </c>
      <c r="AS1" s="15" t="s">
        <v>44</v>
      </c>
      <c r="AT1" s="15" t="s">
        <v>45</v>
      </c>
      <c r="AU1" s="15" t="s">
        <v>46</v>
      </c>
      <c r="AV1" s="15" t="s">
        <v>47</v>
      </c>
      <c r="AW1" s="15" t="s">
        <v>48</v>
      </c>
    </row>
    <row r="2" spans="1:49" ht="32.1" customHeight="1">
      <c r="A2" s="16" t="s">
        <v>49</v>
      </c>
      <c r="B2" s="16" t="s">
        <v>50</v>
      </c>
      <c r="C2" s="16" t="s">
        <v>51</v>
      </c>
      <c r="D2" s="16" t="s">
        <v>52</v>
      </c>
      <c r="E2" s="16" t="s">
        <v>53</v>
      </c>
      <c r="F2" s="16" t="s">
        <v>54</v>
      </c>
      <c r="G2" s="16" t="s">
        <v>55</v>
      </c>
      <c r="H2" s="16" t="s">
        <v>56</v>
      </c>
      <c r="I2" s="16" t="s">
        <v>57</v>
      </c>
      <c r="J2" s="16" t="s">
        <v>58</v>
      </c>
      <c r="K2" s="16" t="s">
        <v>59</v>
      </c>
      <c r="L2" s="16" t="s">
        <v>60</v>
      </c>
      <c r="M2" s="16" t="s">
        <v>61</v>
      </c>
      <c r="N2" s="16" t="s">
        <v>62</v>
      </c>
      <c r="O2" s="16" t="s">
        <v>63</v>
      </c>
      <c r="P2" s="16" t="s">
        <v>64</v>
      </c>
      <c r="Q2" s="16" t="s">
        <v>65</v>
      </c>
      <c r="R2" s="16" t="s">
        <v>66</v>
      </c>
      <c r="S2" s="16" t="s">
        <v>67</v>
      </c>
      <c r="T2" s="16" t="s">
        <v>68</v>
      </c>
      <c r="U2" s="16" t="s">
        <v>69</v>
      </c>
      <c r="V2" s="16" t="s">
        <v>70</v>
      </c>
      <c r="W2" s="16" t="s">
        <v>71</v>
      </c>
      <c r="X2" s="16" t="s">
        <v>72</v>
      </c>
      <c r="Y2" s="16" t="s">
        <v>73</v>
      </c>
      <c r="Z2" s="16" t="s">
        <v>74</v>
      </c>
      <c r="AA2" s="16" t="s">
        <v>75</v>
      </c>
      <c r="AB2" s="16" t="s">
        <v>76</v>
      </c>
      <c r="AC2" s="16" t="s">
        <v>77</v>
      </c>
      <c r="AD2" s="16" t="s">
        <v>78</v>
      </c>
      <c r="AE2" s="16" t="s">
        <v>79</v>
      </c>
      <c r="AF2" s="16" t="s">
        <v>80</v>
      </c>
      <c r="AG2" s="16" t="s">
        <v>81</v>
      </c>
      <c r="AH2" s="16" t="s">
        <v>82</v>
      </c>
      <c r="AI2" s="16" t="s">
        <v>83</v>
      </c>
      <c r="AJ2" s="16" t="s">
        <v>84</v>
      </c>
      <c r="AK2" s="16" t="s">
        <v>85</v>
      </c>
      <c r="AL2" s="16" t="s">
        <v>86</v>
      </c>
      <c r="AM2" s="16" t="s">
        <v>87</v>
      </c>
      <c r="AN2" s="16" t="s">
        <v>88</v>
      </c>
      <c r="AO2" s="16" t="s">
        <v>89</v>
      </c>
      <c r="AP2" s="16" t="s">
        <v>90</v>
      </c>
      <c r="AQ2" s="16" t="s">
        <v>91</v>
      </c>
      <c r="AR2" s="16" t="s">
        <v>92</v>
      </c>
      <c r="AS2" s="16" t="s">
        <v>93</v>
      </c>
      <c r="AT2" s="16" t="s">
        <v>94</v>
      </c>
      <c r="AU2" s="16" t="s">
        <v>95</v>
      </c>
      <c r="AV2" s="16" t="s">
        <v>96</v>
      </c>
      <c r="AW2" s="16" t="s">
        <v>97</v>
      </c>
    </row>
    <row r="3" spans="1:49" ht="36" customHeight="1">
      <c r="A3" s="17" t="s">
        <v>98</v>
      </c>
      <c r="B3" s="17" t="s">
        <v>99</v>
      </c>
      <c r="C3" s="17"/>
      <c r="D3" s="18"/>
      <c r="E3" s="17"/>
      <c r="F3" s="17"/>
      <c r="G3" s="17"/>
      <c r="H3" s="17"/>
      <c r="I3" s="17"/>
      <c r="J3" s="17" t="s">
        <v>100</v>
      </c>
      <c r="K3" s="17" t="s">
        <v>101</v>
      </c>
      <c r="L3" s="17"/>
      <c r="M3" s="17"/>
      <c r="N3" s="17"/>
      <c r="O3" s="17">
        <v>7.1</v>
      </c>
      <c r="P3" s="17">
        <v>8</v>
      </c>
      <c r="Q3" s="17">
        <v>1.49</v>
      </c>
      <c r="R3" s="17">
        <v>1.66</v>
      </c>
      <c r="S3" s="17">
        <v>1.5</v>
      </c>
      <c r="T3" s="17">
        <v>0.12</v>
      </c>
      <c r="U3" s="17">
        <v>0.06</v>
      </c>
      <c r="V3" s="17">
        <v>2</v>
      </c>
      <c r="W3" s="17" t="s">
        <v>102</v>
      </c>
      <c r="X3" s="17">
        <v>200</v>
      </c>
      <c r="Y3" s="17">
        <v>50</v>
      </c>
      <c r="Z3" s="17">
        <v>9.52</v>
      </c>
      <c r="AA3" s="17">
        <v>15.88</v>
      </c>
      <c r="AB3" s="17" t="s">
        <v>103</v>
      </c>
      <c r="AC3" s="17"/>
      <c r="AD3" s="17"/>
      <c r="AE3" s="17"/>
      <c r="AF3" s="17"/>
      <c r="AG3" s="17"/>
      <c r="AH3" s="17"/>
      <c r="AI3" s="17"/>
      <c r="AJ3" s="17"/>
      <c r="AK3" s="17"/>
      <c r="AL3" s="17"/>
      <c r="AM3" s="17"/>
      <c r="AN3" s="17"/>
      <c r="AO3" s="17"/>
      <c r="AP3" s="17"/>
      <c r="AQ3" s="17"/>
      <c r="AR3" s="17"/>
      <c r="AS3" s="17"/>
      <c r="AT3" s="17"/>
      <c r="AU3" s="17"/>
      <c r="AV3" s="17"/>
      <c r="AW3" s="17" t="s">
        <v>104</v>
      </c>
    </row>
    <row r="4" spans="1:49" ht="36" customHeight="1">
      <c r="A4" s="17" t="s">
        <v>98</v>
      </c>
      <c r="B4" s="17" t="s">
        <v>99</v>
      </c>
      <c r="C4" s="17"/>
      <c r="D4" s="18"/>
      <c r="E4" s="17"/>
      <c r="F4" s="17"/>
      <c r="G4" s="17"/>
      <c r="H4" s="17"/>
      <c r="I4" s="17"/>
      <c r="J4" s="17" t="s">
        <v>105</v>
      </c>
      <c r="K4" s="17" t="s">
        <v>101</v>
      </c>
      <c r="L4" s="17"/>
      <c r="M4" s="17"/>
      <c r="N4" s="17"/>
      <c r="O4" s="17">
        <v>10</v>
      </c>
      <c r="P4" s="17">
        <v>11.2</v>
      </c>
      <c r="Q4" s="17">
        <v>2.2599999999999998</v>
      </c>
      <c r="R4" s="17">
        <v>2.2599999999999998</v>
      </c>
      <c r="S4" s="17">
        <v>2.1</v>
      </c>
      <c r="T4" s="17">
        <v>0.12</v>
      </c>
      <c r="U4" s="17">
        <v>0.06</v>
      </c>
      <c r="V4" s="17">
        <v>2</v>
      </c>
      <c r="W4" s="17" t="s">
        <v>102</v>
      </c>
      <c r="X4" s="17">
        <v>200</v>
      </c>
      <c r="Y4" s="17">
        <v>50</v>
      </c>
      <c r="Z4" s="17">
        <v>9.52</v>
      </c>
      <c r="AA4" s="17">
        <v>15.88</v>
      </c>
      <c r="AB4" s="17" t="s">
        <v>103</v>
      </c>
      <c r="AC4" s="17"/>
      <c r="AD4" s="17"/>
      <c r="AE4" s="17"/>
      <c r="AF4" s="17"/>
      <c r="AG4" s="17"/>
      <c r="AH4" s="17"/>
      <c r="AI4" s="17"/>
      <c r="AJ4" s="17"/>
      <c r="AK4" s="17"/>
      <c r="AL4" s="17"/>
      <c r="AM4" s="17"/>
      <c r="AN4" s="17"/>
      <c r="AO4" s="17"/>
      <c r="AP4" s="17"/>
      <c r="AQ4" s="17"/>
      <c r="AR4" s="17"/>
      <c r="AS4" s="17"/>
      <c r="AT4" s="17"/>
      <c r="AU4" s="17"/>
      <c r="AV4" s="17"/>
      <c r="AW4" s="17" t="s">
        <v>106</v>
      </c>
    </row>
    <row r="5" spans="1:49" ht="36" customHeight="1">
      <c r="A5" s="17" t="s">
        <v>98</v>
      </c>
      <c r="B5" s="17" t="s">
        <v>99</v>
      </c>
      <c r="C5" s="17"/>
      <c r="D5" s="18"/>
      <c r="E5" s="17"/>
      <c r="F5" s="17"/>
      <c r="G5" s="17"/>
      <c r="H5" s="17"/>
      <c r="I5" s="17"/>
      <c r="J5" s="17" t="s">
        <v>107</v>
      </c>
      <c r="K5" s="17" t="s">
        <v>101</v>
      </c>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t="s">
        <v>108</v>
      </c>
    </row>
    <row r="6" spans="1:49" ht="36" customHeight="1">
      <c r="A6" s="17" t="s">
        <v>98</v>
      </c>
      <c r="B6" s="17" t="s">
        <v>99</v>
      </c>
      <c r="C6" s="17" t="s">
        <v>109</v>
      </c>
      <c r="D6" s="18" t="s">
        <v>110</v>
      </c>
      <c r="E6" s="17" t="s">
        <v>111</v>
      </c>
      <c r="F6" s="17" t="s">
        <v>112</v>
      </c>
      <c r="G6" s="17" t="s">
        <v>113</v>
      </c>
      <c r="H6" s="17">
        <v>80</v>
      </c>
      <c r="I6" s="17" t="s">
        <v>114</v>
      </c>
      <c r="J6" s="17" t="s">
        <v>115</v>
      </c>
      <c r="K6" s="17" t="s">
        <v>116</v>
      </c>
      <c r="L6" s="17"/>
      <c r="M6" s="17"/>
      <c r="N6" s="17"/>
      <c r="O6" s="17">
        <v>7.1</v>
      </c>
      <c r="P6" s="17">
        <v>8</v>
      </c>
      <c r="Q6" s="17">
        <v>2.04</v>
      </c>
      <c r="R6" s="17">
        <v>2.1800000000000002</v>
      </c>
      <c r="S6" s="17">
        <v>1.5</v>
      </c>
      <c r="T6" s="17">
        <v>0.05</v>
      </c>
      <c r="U6" s="17">
        <v>0.06</v>
      </c>
      <c r="V6" s="17">
        <v>2</v>
      </c>
      <c r="W6" s="17" t="s">
        <v>102</v>
      </c>
      <c r="X6" s="17">
        <v>200</v>
      </c>
      <c r="Y6" s="17">
        <v>50</v>
      </c>
      <c r="Z6" s="17">
        <v>9.52</v>
      </c>
      <c r="AA6" s="17">
        <v>15.88</v>
      </c>
      <c r="AB6" s="17" t="s">
        <v>103</v>
      </c>
      <c r="AC6" s="17" t="s">
        <v>117</v>
      </c>
      <c r="AD6" s="17" t="s">
        <v>118</v>
      </c>
      <c r="AE6" s="17">
        <v>1</v>
      </c>
      <c r="AF6" s="17">
        <v>1</v>
      </c>
      <c r="AG6" s="17" t="s">
        <v>119</v>
      </c>
      <c r="AH6" s="17" t="s">
        <v>120</v>
      </c>
      <c r="AI6" s="17">
        <v>290</v>
      </c>
      <c r="AJ6" s="17">
        <v>940</v>
      </c>
      <c r="AK6" s="17">
        <v>650</v>
      </c>
      <c r="AL6" s="17">
        <v>1338</v>
      </c>
      <c r="AM6" s="17">
        <v>1050</v>
      </c>
      <c r="AN6" s="17">
        <v>330</v>
      </c>
      <c r="AO6" s="17">
        <v>26</v>
      </c>
      <c r="AP6" s="17">
        <v>113</v>
      </c>
      <c r="AQ6" s="17">
        <v>6.5</v>
      </c>
      <c r="AR6" s="17">
        <v>6.8</v>
      </c>
      <c r="AS6" s="17">
        <v>22</v>
      </c>
      <c r="AT6" s="17">
        <v>4.8</v>
      </c>
      <c r="AU6" s="17" t="s">
        <v>121</v>
      </c>
      <c r="AV6" s="17">
        <v>4</v>
      </c>
      <c r="AW6" s="17" t="s">
        <v>122</v>
      </c>
    </row>
    <row r="7" spans="1:49" ht="36" customHeight="1">
      <c r="A7" s="17" t="s">
        <v>123</v>
      </c>
      <c r="B7" s="17" t="s">
        <v>99</v>
      </c>
      <c r="C7" s="17" t="s">
        <v>124</v>
      </c>
      <c r="D7" s="18" t="s">
        <v>110</v>
      </c>
      <c r="E7" s="17"/>
      <c r="F7" s="17" t="s">
        <v>125</v>
      </c>
      <c r="G7" s="17" t="s">
        <v>126</v>
      </c>
      <c r="H7" s="17">
        <v>28</v>
      </c>
      <c r="I7" s="17" t="s">
        <v>114</v>
      </c>
      <c r="J7" s="17" t="s">
        <v>127</v>
      </c>
      <c r="K7" s="17" t="s">
        <v>128</v>
      </c>
      <c r="L7" s="17"/>
      <c r="M7" s="17"/>
      <c r="N7" s="17"/>
      <c r="O7" s="17">
        <v>2.8</v>
      </c>
      <c r="P7" s="17">
        <v>4</v>
      </c>
      <c r="Q7" s="17">
        <v>0.64500000000000002</v>
      </c>
      <c r="R7" s="17">
        <v>0.96</v>
      </c>
      <c r="S7" s="17">
        <v>0.75</v>
      </c>
      <c r="T7" s="17">
        <v>0.03</v>
      </c>
      <c r="U7" s="17">
        <v>0.05</v>
      </c>
      <c r="V7" s="17">
        <v>1</v>
      </c>
      <c r="W7" s="17">
        <v>1</v>
      </c>
      <c r="X7" s="17">
        <v>200</v>
      </c>
      <c r="Y7" s="17" t="s">
        <v>129</v>
      </c>
      <c r="Z7" s="17">
        <v>6.35</v>
      </c>
      <c r="AA7" s="17">
        <v>9.52</v>
      </c>
      <c r="AB7" s="17" t="s">
        <v>130</v>
      </c>
      <c r="AC7" s="17" t="s">
        <v>131</v>
      </c>
      <c r="AD7" s="17" t="s">
        <v>132</v>
      </c>
      <c r="AE7" s="17">
        <v>1</v>
      </c>
      <c r="AF7" s="17">
        <v>1</v>
      </c>
      <c r="AG7" s="17"/>
      <c r="AH7" s="17"/>
      <c r="AI7" s="17">
        <v>185</v>
      </c>
      <c r="AJ7" s="17">
        <v>1102</v>
      </c>
      <c r="AK7" s="17">
        <v>360</v>
      </c>
      <c r="AL7" s="17">
        <v>550</v>
      </c>
      <c r="AM7" s="17">
        <v>800</v>
      </c>
      <c r="AN7" s="17">
        <v>285</v>
      </c>
      <c r="AO7" s="17">
        <v>15</v>
      </c>
      <c r="AP7" s="17">
        <v>35</v>
      </c>
      <c r="AQ7" s="17">
        <v>3.54</v>
      </c>
      <c r="AR7" s="17">
        <v>5.27</v>
      </c>
      <c r="AS7" s="17">
        <v>15</v>
      </c>
      <c r="AT7" s="17">
        <v>5.6</v>
      </c>
      <c r="AU7" s="17" t="s">
        <v>133</v>
      </c>
      <c r="AV7" s="17">
        <v>1.1000000000000001</v>
      </c>
      <c r="AW7" s="17" t="s">
        <v>134</v>
      </c>
    </row>
    <row r="8" spans="1:49" ht="36" customHeight="1">
      <c r="A8" s="17" t="s">
        <v>98</v>
      </c>
      <c r="B8" s="17" t="s">
        <v>99</v>
      </c>
      <c r="C8" s="17" t="s">
        <v>109</v>
      </c>
      <c r="D8" s="18" t="s">
        <v>110</v>
      </c>
      <c r="E8" s="17" t="s">
        <v>111</v>
      </c>
      <c r="F8" s="17" t="s">
        <v>125</v>
      </c>
      <c r="G8" s="17" t="s">
        <v>126</v>
      </c>
      <c r="H8" s="17">
        <v>80</v>
      </c>
      <c r="I8" s="17" t="s">
        <v>135</v>
      </c>
      <c r="J8" s="17" t="s">
        <v>136</v>
      </c>
      <c r="K8" s="17" t="s">
        <v>137</v>
      </c>
      <c r="L8" s="17"/>
      <c r="M8" s="17"/>
      <c r="N8" s="17"/>
      <c r="O8" s="17">
        <v>7.1</v>
      </c>
      <c r="P8" s="17">
        <v>8</v>
      </c>
      <c r="Q8" s="17">
        <v>1.74</v>
      </c>
      <c r="R8" s="17">
        <v>1.98</v>
      </c>
      <c r="S8" s="17">
        <v>1.5</v>
      </c>
      <c r="T8" s="17">
        <v>0.09</v>
      </c>
      <c r="U8" s="17">
        <v>0.06</v>
      </c>
      <c r="V8" s="17">
        <v>2</v>
      </c>
      <c r="W8" s="17" t="s">
        <v>102</v>
      </c>
      <c r="X8" s="17">
        <v>200</v>
      </c>
      <c r="Y8" s="17">
        <v>50</v>
      </c>
      <c r="Z8" s="17">
        <v>9.52</v>
      </c>
      <c r="AA8" s="17">
        <v>15.88</v>
      </c>
      <c r="AB8" s="17" t="s">
        <v>103</v>
      </c>
      <c r="AC8" s="17" t="s">
        <v>138</v>
      </c>
      <c r="AD8" s="17" t="s">
        <v>118</v>
      </c>
      <c r="AE8" s="17">
        <v>2</v>
      </c>
      <c r="AF8" s="17">
        <v>1</v>
      </c>
      <c r="AG8" s="17" t="s">
        <v>119</v>
      </c>
      <c r="AH8" s="17" t="s">
        <v>139</v>
      </c>
      <c r="AI8" s="17">
        <v>225</v>
      </c>
      <c r="AJ8" s="17">
        <v>1112</v>
      </c>
      <c r="AK8" s="17">
        <v>724</v>
      </c>
      <c r="AL8" s="17">
        <v>1338</v>
      </c>
      <c r="AM8" s="17">
        <v>1050</v>
      </c>
      <c r="AN8" s="17">
        <v>330</v>
      </c>
      <c r="AO8" s="17">
        <v>25</v>
      </c>
      <c r="AP8" s="17">
        <v>113</v>
      </c>
      <c r="AQ8" s="17">
        <v>5.7</v>
      </c>
      <c r="AR8" s="17">
        <v>6.4</v>
      </c>
      <c r="AS8" s="17">
        <v>22</v>
      </c>
      <c r="AT8" s="17">
        <v>5</v>
      </c>
      <c r="AU8" s="17" t="s">
        <v>121</v>
      </c>
      <c r="AV8" s="17">
        <v>4</v>
      </c>
      <c r="AW8" s="17" t="s">
        <v>140</v>
      </c>
    </row>
    <row r="9" spans="1:49" ht="36" customHeight="1">
      <c r="A9" s="17" t="s">
        <v>98</v>
      </c>
      <c r="B9" s="17" t="s">
        <v>99</v>
      </c>
      <c r="C9" s="17" t="s">
        <v>109</v>
      </c>
      <c r="D9" s="18"/>
      <c r="E9" s="17" t="s">
        <v>141</v>
      </c>
      <c r="F9" s="17" t="s">
        <v>142</v>
      </c>
      <c r="G9" s="17" t="s">
        <v>143</v>
      </c>
      <c r="H9" s="17">
        <v>280</v>
      </c>
      <c r="I9" s="17" t="s">
        <v>135</v>
      </c>
      <c r="J9" s="17" t="s">
        <v>144</v>
      </c>
      <c r="K9" s="17" t="s">
        <v>145</v>
      </c>
      <c r="L9" s="17"/>
      <c r="M9" s="17"/>
      <c r="N9" s="17"/>
      <c r="O9" s="17">
        <v>25</v>
      </c>
      <c r="P9" s="17">
        <v>28</v>
      </c>
      <c r="Q9" s="17">
        <v>9.5399999999999991</v>
      </c>
      <c r="R9" s="17">
        <v>8.6</v>
      </c>
      <c r="S9" s="17">
        <v>6</v>
      </c>
      <c r="T9" s="17">
        <v>0.08</v>
      </c>
      <c r="U9" s="17">
        <v>0.2</v>
      </c>
      <c r="V9" s="17">
        <v>2</v>
      </c>
      <c r="W9" s="17" t="s">
        <v>102</v>
      </c>
      <c r="X9" s="17">
        <v>200</v>
      </c>
      <c r="Y9" s="17">
        <v>50</v>
      </c>
      <c r="Z9" s="17">
        <v>12.7</v>
      </c>
      <c r="AA9" s="17">
        <v>25.4</v>
      </c>
      <c r="AB9" s="17" t="s">
        <v>103</v>
      </c>
      <c r="AC9" s="17" t="s">
        <v>146</v>
      </c>
      <c r="AD9" s="17" t="s">
        <v>147</v>
      </c>
      <c r="AE9" s="17">
        <v>2</v>
      </c>
      <c r="AF9" s="17">
        <v>1</v>
      </c>
      <c r="AG9" s="17" t="s">
        <v>119</v>
      </c>
      <c r="AH9" s="17"/>
      <c r="AI9" s="17">
        <v>312</v>
      </c>
      <c r="AJ9" s="17">
        <v>1520</v>
      </c>
      <c r="AK9" s="17">
        <v>650</v>
      </c>
      <c r="AL9" s="17">
        <v>1338</v>
      </c>
      <c r="AM9" s="17">
        <v>1050</v>
      </c>
      <c r="AN9" s="17">
        <v>330</v>
      </c>
      <c r="AO9" s="17">
        <v>56</v>
      </c>
      <c r="AP9" s="17">
        <v>117</v>
      </c>
      <c r="AQ9" s="17">
        <v>29.9</v>
      </c>
      <c r="AR9" s="17">
        <v>27.3</v>
      </c>
      <c r="AS9" s="17">
        <v>40</v>
      </c>
      <c r="AT9" s="17">
        <v>4</v>
      </c>
      <c r="AU9" s="17" t="s">
        <v>121</v>
      </c>
      <c r="AV9" s="17">
        <v>6.5</v>
      </c>
      <c r="AW9" s="17" t="s">
        <v>148</v>
      </c>
    </row>
    <row r="10" spans="1:49" ht="36" customHeight="1">
      <c r="A10" s="17" t="s">
        <v>98</v>
      </c>
      <c r="B10" s="17" t="s">
        <v>99</v>
      </c>
      <c r="C10" s="17" t="s">
        <v>109</v>
      </c>
      <c r="D10" s="18"/>
      <c r="E10" s="17" t="s">
        <v>111</v>
      </c>
      <c r="F10" s="17" t="s">
        <v>149</v>
      </c>
      <c r="G10" s="17" t="s">
        <v>150</v>
      </c>
      <c r="H10" s="17">
        <v>140</v>
      </c>
      <c r="I10" s="17" t="s">
        <v>114</v>
      </c>
      <c r="J10" s="17" t="s">
        <v>151</v>
      </c>
      <c r="K10" s="17" t="s">
        <v>101</v>
      </c>
      <c r="L10" s="17"/>
      <c r="M10" s="17"/>
      <c r="N10" s="17"/>
      <c r="O10" s="17">
        <v>12.5</v>
      </c>
      <c r="P10" s="17">
        <v>14</v>
      </c>
      <c r="Q10" s="17">
        <v>3.02</v>
      </c>
      <c r="R10" s="17">
        <v>2.98</v>
      </c>
      <c r="S10" s="17">
        <v>2.8</v>
      </c>
      <c r="T10" s="17">
        <v>0.12</v>
      </c>
      <c r="U10" s="17">
        <v>0.06</v>
      </c>
      <c r="V10" s="17">
        <v>2</v>
      </c>
      <c r="W10" s="17" t="s">
        <v>102</v>
      </c>
      <c r="X10" s="17">
        <v>200</v>
      </c>
      <c r="Y10" s="17">
        <v>50</v>
      </c>
      <c r="Z10" s="17">
        <v>9.52</v>
      </c>
      <c r="AA10" s="17">
        <v>15.88</v>
      </c>
      <c r="AB10" s="17" t="s">
        <v>103</v>
      </c>
      <c r="AC10" s="17" t="s">
        <v>152</v>
      </c>
      <c r="AD10" s="17" t="s">
        <v>153</v>
      </c>
      <c r="AE10" s="17">
        <v>1</v>
      </c>
      <c r="AF10" s="17">
        <v>1</v>
      </c>
      <c r="AG10" s="17" t="s">
        <v>119</v>
      </c>
      <c r="AH10" s="17" t="s">
        <v>154</v>
      </c>
      <c r="AI10" s="17">
        <v>298</v>
      </c>
      <c r="AJ10" s="17">
        <v>840</v>
      </c>
      <c r="AK10" s="17">
        <v>840</v>
      </c>
      <c r="AL10" s="17">
        <v>1338</v>
      </c>
      <c r="AM10" s="17">
        <v>1050</v>
      </c>
      <c r="AN10" s="17">
        <v>330</v>
      </c>
      <c r="AO10" s="17">
        <v>26</v>
      </c>
      <c r="AP10" s="17">
        <v>100</v>
      </c>
      <c r="AQ10" s="17">
        <v>9.6999999999999993</v>
      </c>
      <c r="AR10" s="17">
        <v>9.6</v>
      </c>
      <c r="AS10" s="17">
        <v>24</v>
      </c>
      <c r="AT10" s="17">
        <v>7</v>
      </c>
      <c r="AU10" s="17" t="s">
        <v>121</v>
      </c>
      <c r="AV10" s="17">
        <v>4</v>
      </c>
      <c r="AW10" s="17" t="s">
        <v>155</v>
      </c>
    </row>
    <row r="11" spans="1:49" ht="36" customHeight="1">
      <c r="A11" s="17" t="s">
        <v>98</v>
      </c>
      <c r="B11" s="17" t="s">
        <v>99</v>
      </c>
      <c r="C11" s="17" t="s">
        <v>109</v>
      </c>
      <c r="D11" s="18"/>
      <c r="E11" s="17" t="s">
        <v>141</v>
      </c>
      <c r="F11" s="17" t="s">
        <v>149</v>
      </c>
      <c r="G11" s="17" t="s">
        <v>150</v>
      </c>
      <c r="H11" s="17">
        <v>224</v>
      </c>
      <c r="I11" s="17" t="s">
        <v>135</v>
      </c>
      <c r="J11" s="17" t="s">
        <v>156</v>
      </c>
      <c r="K11" s="17" t="s">
        <v>157</v>
      </c>
      <c r="L11" s="17"/>
      <c r="M11" s="17"/>
      <c r="N11" s="17"/>
      <c r="O11" s="17">
        <v>20</v>
      </c>
      <c r="P11" s="17">
        <v>22.4</v>
      </c>
      <c r="Q11" s="17">
        <v>6.1</v>
      </c>
      <c r="R11" s="17">
        <v>5.68</v>
      </c>
      <c r="S11" s="17">
        <v>4.5999999999999996</v>
      </c>
      <c r="T11" s="17">
        <v>0.12</v>
      </c>
      <c r="U11" s="17">
        <v>0.15</v>
      </c>
      <c r="V11" s="17">
        <v>2</v>
      </c>
      <c r="W11" s="17" t="s">
        <v>102</v>
      </c>
      <c r="X11" s="17">
        <v>200</v>
      </c>
      <c r="Y11" s="17">
        <v>50</v>
      </c>
      <c r="Z11" s="17">
        <v>9.52</v>
      </c>
      <c r="AA11" s="17">
        <v>25.4</v>
      </c>
      <c r="AB11" s="17" t="s">
        <v>103</v>
      </c>
      <c r="AC11" s="17" t="s">
        <v>158</v>
      </c>
      <c r="AD11" s="17" t="s">
        <v>159</v>
      </c>
      <c r="AE11" s="17">
        <v>2</v>
      </c>
      <c r="AF11" s="17">
        <v>1</v>
      </c>
      <c r="AG11" s="17" t="s">
        <v>119</v>
      </c>
      <c r="AH11" s="17" t="s">
        <v>160</v>
      </c>
      <c r="AI11" s="17">
        <v>298</v>
      </c>
      <c r="AJ11" s="17">
        <v>840</v>
      </c>
      <c r="AK11" s="17">
        <v>840</v>
      </c>
      <c r="AL11" s="17">
        <v>1338</v>
      </c>
      <c r="AM11" s="17">
        <v>1050</v>
      </c>
      <c r="AN11" s="17">
        <v>330</v>
      </c>
      <c r="AO11" s="17">
        <v>25</v>
      </c>
      <c r="AP11" s="17">
        <v>106</v>
      </c>
      <c r="AQ11" s="17">
        <v>18.7</v>
      </c>
      <c r="AR11" s="17">
        <v>17.8</v>
      </c>
      <c r="AS11" s="17">
        <v>31.5</v>
      </c>
      <c r="AT11" s="17">
        <v>5.0999999999999996</v>
      </c>
      <c r="AU11" s="17" t="s">
        <v>121</v>
      </c>
      <c r="AV11" s="17">
        <v>5</v>
      </c>
      <c r="AW11" s="17" t="s">
        <v>161</v>
      </c>
    </row>
    <row r="12" spans="1:49" ht="36" customHeight="1">
      <c r="A12" s="17" t="s">
        <v>98</v>
      </c>
      <c r="B12" s="17" t="s">
        <v>99</v>
      </c>
      <c r="C12" s="17" t="s">
        <v>109</v>
      </c>
      <c r="D12" s="18"/>
      <c r="E12" s="17" t="s">
        <v>141</v>
      </c>
      <c r="F12" s="17" t="s">
        <v>112</v>
      </c>
      <c r="G12" s="17" t="s">
        <v>113</v>
      </c>
      <c r="H12" s="17">
        <v>224</v>
      </c>
      <c r="I12" s="17" t="s">
        <v>162</v>
      </c>
      <c r="J12" s="17" t="s">
        <v>163</v>
      </c>
      <c r="K12" s="17" t="s">
        <v>164</v>
      </c>
      <c r="L12" s="17"/>
      <c r="M12" s="17"/>
      <c r="N12" s="17"/>
      <c r="O12" s="17">
        <v>20</v>
      </c>
      <c r="P12" s="17">
        <v>22.4</v>
      </c>
      <c r="Q12" s="17">
        <v>7.28</v>
      </c>
      <c r="R12" s="17">
        <v>7.45</v>
      </c>
      <c r="S12" s="17">
        <v>4.5999999999999996</v>
      </c>
      <c r="T12" s="17">
        <v>0.05</v>
      </c>
      <c r="U12" s="17">
        <v>0.15</v>
      </c>
      <c r="V12" s="17">
        <v>2</v>
      </c>
      <c r="W12" s="17" t="s">
        <v>102</v>
      </c>
      <c r="X12" s="17">
        <v>200</v>
      </c>
      <c r="Y12" s="17">
        <v>50</v>
      </c>
      <c r="Z12" s="17">
        <v>9.52</v>
      </c>
      <c r="AA12" s="17">
        <v>25.4</v>
      </c>
      <c r="AB12" s="17" t="s">
        <v>103</v>
      </c>
      <c r="AC12" s="17" t="s">
        <v>117</v>
      </c>
      <c r="AD12" s="17" t="s">
        <v>159</v>
      </c>
      <c r="AE12" s="17">
        <v>3</v>
      </c>
      <c r="AF12" s="17">
        <v>1</v>
      </c>
      <c r="AG12" s="17" t="s">
        <v>119</v>
      </c>
      <c r="AH12" s="17" t="s">
        <v>165</v>
      </c>
      <c r="AI12" s="17">
        <v>290</v>
      </c>
      <c r="AJ12" s="17">
        <v>940</v>
      </c>
      <c r="AK12" s="17">
        <v>650</v>
      </c>
      <c r="AL12" s="17">
        <v>1338</v>
      </c>
      <c r="AM12" s="17">
        <v>1050</v>
      </c>
      <c r="AN12" s="17">
        <v>330</v>
      </c>
      <c r="AO12" s="17">
        <v>26</v>
      </c>
      <c r="AP12" s="17">
        <v>106</v>
      </c>
      <c r="AQ12" s="17">
        <v>23.4</v>
      </c>
      <c r="AR12" s="17">
        <v>23.9</v>
      </c>
      <c r="AS12" s="17">
        <v>31.4</v>
      </c>
      <c r="AT12" s="17">
        <v>4.8</v>
      </c>
      <c r="AU12" s="17" t="s">
        <v>121</v>
      </c>
      <c r="AV12" s="17">
        <v>5</v>
      </c>
      <c r="AW12" s="17" t="s">
        <v>166</v>
      </c>
    </row>
    <row r="13" spans="1:49" ht="36" customHeight="1">
      <c r="A13" s="17" t="s">
        <v>98</v>
      </c>
      <c r="B13" s="17" t="s">
        <v>99</v>
      </c>
      <c r="C13" s="17" t="s">
        <v>109</v>
      </c>
      <c r="D13" s="18"/>
      <c r="E13" s="17" t="s">
        <v>111</v>
      </c>
      <c r="F13" s="17" t="s">
        <v>149</v>
      </c>
      <c r="G13" s="17" t="s">
        <v>150</v>
      </c>
      <c r="H13" s="17">
        <v>280</v>
      </c>
      <c r="I13" s="17" t="s">
        <v>135</v>
      </c>
      <c r="J13" s="17" t="s">
        <v>167</v>
      </c>
      <c r="K13" s="17" t="s">
        <v>157</v>
      </c>
      <c r="L13" s="17"/>
      <c r="M13" s="17"/>
      <c r="N13" s="17"/>
      <c r="O13" s="17">
        <v>25</v>
      </c>
      <c r="P13" s="17">
        <v>28</v>
      </c>
      <c r="Q13" s="17">
        <v>7.49</v>
      </c>
      <c r="R13" s="17">
        <v>6.6</v>
      </c>
      <c r="S13" s="17">
        <v>5.7</v>
      </c>
      <c r="T13" s="17">
        <v>0.12</v>
      </c>
      <c r="U13" s="17">
        <v>0.2</v>
      </c>
      <c r="V13" s="17">
        <v>2</v>
      </c>
      <c r="W13" s="17" t="s">
        <v>102</v>
      </c>
      <c r="X13" s="17">
        <v>200</v>
      </c>
      <c r="Y13" s="17">
        <v>50</v>
      </c>
      <c r="Z13" s="17">
        <v>12.7</v>
      </c>
      <c r="AA13" s="17">
        <v>25.4</v>
      </c>
      <c r="AB13" s="17" t="s">
        <v>103</v>
      </c>
      <c r="AC13" s="17" t="s">
        <v>152</v>
      </c>
      <c r="AD13" s="17" t="s">
        <v>168</v>
      </c>
      <c r="AE13" s="17">
        <v>2</v>
      </c>
      <c r="AF13" s="17">
        <v>1</v>
      </c>
      <c r="AG13" s="17" t="s">
        <v>119</v>
      </c>
      <c r="AH13" s="17" t="s">
        <v>154</v>
      </c>
      <c r="AI13" s="17">
        <v>298</v>
      </c>
      <c r="AJ13" s="17">
        <v>840</v>
      </c>
      <c r="AK13" s="17">
        <v>840</v>
      </c>
      <c r="AL13" s="17">
        <v>1338</v>
      </c>
      <c r="AM13" s="17">
        <v>1050</v>
      </c>
      <c r="AN13" s="17">
        <v>330</v>
      </c>
      <c r="AO13" s="17">
        <v>26</v>
      </c>
      <c r="AP13" s="17">
        <v>134</v>
      </c>
      <c r="AQ13" s="17">
        <v>23</v>
      </c>
      <c r="AR13" s="17">
        <v>20.7</v>
      </c>
      <c r="AS13" s="17">
        <v>40.5</v>
      </c>
      <c r="AT13" s="17">
        <v>6</v>
      </c>
      <c r="AU13" s="17" t="s">
        <v>121</v>
      </c>
      <c r="AV13" s="17">
        <v>6.5</v>
      </c>
      <c r="AW13" s="17" t="s">
        <v>169</v>
      </c>
    </row>
    <row r="14" spans="1:49" ht="36" customHeight="1">
      <c r="A14" s="17" t="s">
        <v>98</v>
      </c>
      <c r="B14" s="17" t="s">
        <v>99</v>
      </c>
      <c r="C14" s="17" t="s">
        <v>109</v>
      </c>
      <c r="D14" s="18"/>
      <c r="E14" s="17" t="s">
        <v>111</v>
      </c>
      <c r="F14" s="17" t="s">
        <v>112</v>
      </c>
      <c r="G14" s="17" t="s">
        <v>113</v>
      </c>
      <c r="H14" s="17">
        <v>140</v>
      </c>
      <c r="I14" s="17" t="s">
        <v>135</v>
      </c>
      <c r="J14" s="17" t="s">
        <v>170</v>
      </c>
      <c r="K14" s="17" t="s">
        <v>171</v>
      </c>
      <c r="L14" s="17"/>
      <c r="M14" s="17"/>
      <c r="N14" s="17"/>
      <c r="O14" s="17">
        <v>12.5</v>
      </c>
      <c r="P14" s="17">
        <v>14</v>
      </c>
      <c r="Q14" s="17">
        <v>3.37</v>
      </c>
      <c r="R14" s="17">
        <v>3.96</v>
      </c>
      <c r="S14" s="17">
        <v>2.8</v>
      </c>
      <c r="T14" s="17">
        <v>0.05</v>
      </c>
      <c r="U14" s="17">
        <v>0.06</v>
      </c>
      <c r="V14" s="17">
        <v>2</v>
      </c>
      <c r="W14" s="17" t="s">
        <v>102</v>
      </c>
      <c r="X14" s="17">
        <v>200</v>
      </c>
      <c r="Y14" s="17">
        <v>50</v>
      </c>
      <c r="Z14" s="17">
        <v>9.52</v>
      </c>
      <c r="AA14" s="17">
        <v>15.88</v>
      </c>
      <c r="AB14" s="17" t="s">
        <v>103</v>
      </c>
      <c r="AC14" s="17" t="s">
        <v>172</v>
      </c>
      <c r="AD14" s="17" t="s">
        <v>153</v>
      </c>
      <c r="AE14" s="17">
        <v>2</v>
      </c>
      <c r="AF14" s="17">
        <v>1</v>
      </c>
      <c r="AG14" s="17" t="s">
        <v>119</v>
      </c>
      <c r="AH14" s="17" t="s">
        <v>165</v>
      </c>
      <c r="AI14" s="17">
        <v>290</v>
      </c>
      <c r="AJ14" s="17">
        <v>940</v>
      </c>
      <c r="AK14" s="17">
        <v>650</v>
      </c>
      <c r="AL14" s="17">
        <v>1338</v>
      </c>
      <c r="AM14" s="17">
        <v>1050</v>
      </c>
      <c r="AN14" s="17">
        <v>330</v>
      </c>
      <c r="AO14" s="17">
        <v>26</v>
      </c>
      <c r="AP14" s="17">
        <v>100</v>
      </c>
      <c r="AQ14" s="17">
        <v>10.5</v>
      </c>
      <c r="AR14" s="17">
        <v>12.3</v>
      </c>
      <c r="AS14" s="17">
        <v>25</v>
      </c>
      <c r="AT14" s="17">
        <v>5.6</v>
      </c>
      <c r="AU14" s="17" t="s">
        <v>121</v>
      </c>
      <c r="AV14" s="17">
        <v>4</v>
      </c>
      <c r="AW14" s="17" t="s">
        <v>173</v>
      </c>
    </row>
    <row r="15" spans="1:49" ht="36" customHeight="1">
      <c r="A15" s="17" t="s">
        <v>98</v>
      </c>
      <c r="B15" s="17" t="s">
        <v>174</v>
      </c>
      <c r="C15" s="17" t="s">
        <v>175</v>
      </c>
      <c r="D15" s="18"/>
      <c r="E15" s="17"/>
      <c r="F15" s="17" t="s">
        <v>176</v>
      </c>
      <c r="G15" s="17"/>
      <c r="H15" s="17">
        <v>112</v>
      </c>
      <c r="I15" s="17" t="s">
        <v>114</v>
      </c>
      <c r="J15" s="17" t="s">
        <v>177</v>
      </c>
      <c r="K15" s="17" t="s">
        <v>178</v>
      </c>
      <c r="L15" s="17"/>
      <c r="M15" s="17"/>
      <c r="N15" s="17"/>
      <c r="O15" s="17">
        <v>10</v>
      </c>
      <c r="P15" s="17">
        <v>11.2</v>
      </c>
      <c r="Q15" s="17">
        <v>3.38</v>
      </c>
      <c r="R15" s="17">
        <v>3.16</v>
      </c>
      <c r="S15" s="17">
        <v>2.5</v>
      </c>
      <c r="T15" s="17">
        <v>5.3999999999999999E-2</v>
      </c>
      <c r="U15" s="17">
        <v>0.12</v>
      </c>
      <c r="V15" s="17">
        <v>1</v>
      </c>
      <c r="W15" s="17" t="s">
        <v>102</v>
      </c>
      <c r="X15" s="17">
        <v>200</v>
      </c>
      <c r="Y15" s="17" t="s">
        <v>129</v>
      </c>
      <c r="Z15" s="17">
        <v>9.52</v>
      </c>
      <c r="AA15" s="17">
        <v>15.88</v>
      </c>
      <c r="AB15" s="17" t="s">
        <v>179</v>
      </c>
      <c r="AC15" s="17" t="s">
        <v>180</v>
      </c>
      <c r="AD15" s="17" t="s">
        <v>181</v>
      </c>
      <c r="AE15" s="17">
        <v>1</v>
      </c>
      <c r="AF15" s="17">
        <v>1</v>
      </c>
      <c r="AG15" s="17" t="s">
        <v>182</v>
      </c>
      <c r="AH15" s="17"/>
      <c r="AI15" s="17">
        <v>302</v>
      </c>
      <c r="AJ15" s="17">
        <v>1120</v>
      </c>
      <c r="AK15" s="17">
        <v>236</v>
      </c>
      <c r="AL15" s="17">
        <v>996</v>
      </c>
      <c r="AM15" s="17">
        <v>980</v>
      </c>
      <c r="AN15" s="17">
        <v>370</v>
      </c>
      <c r="AO15" s="17">
        <v>14</v>
      </c>
      <c r="AP15" s="17">
        <v>66</v>
      </c>
      <c r="AQ15" s="17">
        <v>10.1</v>
      </c>
      <c r="AR15" s="17">
        <v>9.4</v>
      </c>
      <c r="AS15" s="17">
        <v>14.8</v>
      </c>
      <c r="AT15" s="17">
        <v>5.6</v>
      </c>
      <c r="AU15" s="17" t="s">
        <v>121</v>
      </c>
      <c r="AV15" s="17">
        <v>2.1</v>
      </c>
      <c r="AW15" s="17" t="s">
        <v>183</v>
      </c>
    </row>
    <row r="16" spans="1:49" ht="36" customHeight="1">
      <c r="A16" s="17" t="s">
        <v>98</v>
      </c>
      <c r="B16" s="17" t="s">
        <v>174</v>
      </c>
      <c r="C16" s="17" t="s">
        <v>175</v>
      </c>
      <c r="D16" s="18"/>
      <c r="E16" s="17"/>
      <c r="F16" s="17" t="s">
        <v>184</v>
      </c>
      <c r="G16" s="17" t="s">
        <v>143</v>
      </c>
      <c r="H16" s="17">
        <v>140</v>
      </c>
      <c r="I16" s="17" t="s">
        <v>114</v>
      </c>
      <c r="J16" s="17" t="s">
        <v>185</v>
      </c>
      <c r="K16" s="17" t="s">
        <v>186</v>
      </c>
      <c r="L16" s="17"/>
      <c r="M16" s="17"/>
      <c r="N16" s="17"/>
      <c r="O16" s="17">
        <v>12.5</v>
      </c>
      <c r="P16" s="17">
        <v>14</v>
      </c>
      <c r="Q16" s="17">
        <v>3.73</v>
      </c>
      <c r="R16" s="17">
        <v>3.88</v>
      </c>
      <c r="S16" s="17">
        <v>2.8</v>
      </c>
      <c r="T16" s="17">
        <v>0.12</v>
      </c>
      <c r="U16" s="17">
        <v>0.12</v>
      </c>
      <c r="V16" s="17">
        <v>1</v>
      </c>
      <c r="W16" s="17" t="s">
        <v>102</v>
      </c>
      <c r="X16" s="17">
        <v>200</v>
      </c>
      <c r="Y16" s="17" t="s">
        <v>129</v>
      </c>
      <c r="Z16" s="17">
        <v>9.52</v>
      </c>
      <c r="AA16" s="17">
        <v>15.88</v>
      </c>
      <c r="AB16" s="17" t="s">
        <v>187</v>
      </c>
      <c r="AC16" s="17" t="s">
        <v>188</v>
      </c>
      <c r="AD16" s="17" t="s">
        <v>189</v>
      </c>
      <c r="AE16" s="17">
        <v>1</v>
      </c>
      <c r="AF16" s="17">
        <v>1</v>
      </c>
      <c r="AG16" s="17" t="s">
        <v>182</v>
      </c>
      <c r="AH16" s="17"/>
      <c r="AI16" s="17">
        <v>300</v>
      </c>
      <c r="AJ16" s="17">
        <v>1539</v>
      </c>
      <c r="AK16" s="17">
        <v>671</v>
      </c>
      <c r="AL16" s="17">
        <v>996</v>
      </c>
      <c r="AM16" s="17">
        <v>980</v>
      </c>
      <c r="AN16" s="17">
        <v>370</v>
      </c>
      <c r="AO16" s="17">
        <v>55</v>
      </c>
      <c r="AP16" s="17">
        <v>81</v>
      </c>
      <c r="AQ16" s="17">
        <v>11.3</v>
      </c>
      <c r="AR16" s="17">
        <v>11.8</v>
      </c>
      <c r="AS16" s="17">
        <v>21.2</v>
      </c>
      <c r="AT16" s="17">
        <v>4.7</v>
      </c>
      <c r="AU16" s="17" t="s">
        <v>121</v>
      </c>
      <c r="AV16" s="17">
        <v>2.8</v>
      </c>
      <c r="AW16" s="17" t="s">
        <v>190</v>
      </c>
    </row>
    <row r="17" spans="1:49" ht="36" customHeight="1">
      <c r="A17" s="17" t="s">
        <v>98</v>
      </c>
      <c r="B17" s="17" t="s">
        <v>174</v>
      </c>
      <c r="C17" s="17" t="s">
        <v>175</v>
      </c>
      <c r="D17" s="18"/>
      <c r="E17" s="17"/>
      <c r="F17" s="17" t="s">
        <v>191</v>
      </c>
      <c r="G17" s="17"/>
      <c r="H17" s="17">
        <v>160</v>
      </c>
      <c r="I17" s="17" t="s">
        <v>114</v>
      </c>
      <c r="J17" s="17" t="s">
        <v>192</v>
      </c>
      <c r="K17" s="17" t="s">
        <v>193</v>
      </c>
      <c r="L17" s="17"/>
      <c r="M17" s="17"/>
      <c r="N17" s="17"/>
      <c r="O17" s="17">
        <v>14</v>
      </c>
      <c r="P17" s="17">
        <v>16</v>
      </c>
      <c r="Q17" s="17">
        <v>4.84</v>
      </c>
      <c r="R17" s="17">
        <v>4.58</v>
      </c>
      <c r="S17" s="17">
        <v>3</v>
      </c>
      <c r="T17" s="17">
        <v>0.23499999999999999</v>
      </c>
      <c r="U17" s="17">
        <v>0.12</v>
      </c>
      <c r="V17" s="17">
        <v>1</v>
      </c>
      <c r="W17" s="17" t="s">
        <v>102</v>
      </c>
      <c r="X17" s="17">
        <v>200</v>
      </c>
      <c r="Y17" s="17" t="s">
        <v>129</v>
      </c>
      <c r="Z17" s="17">
        <v>9.52</v>
      </c>
      <c r="AA17" s="17">
        <v>15.88</v>
      </c>
      <c r="AB17" s="17" t="s">
        <v>187</v>
      </c>
      <c r="AC17" s="17" t="s">
        <v>194</v>
      </c>
      <c r="AD17" s="17" t="s">
        <v>195</v>
      </c>
      <c r="AE17" s="17">
        <v>1</v>
      </c>
      <c r="AF17" s="17">
        <v>1</v>
      </c>
      <c r="AG17" s="17" t="s">
        <v>196</v>
      </c>
      <c r="AH17" s="17" t="s">
        <v>197</v>
      </c>
      <c r="AI17" s="17">
        <v>290</v>
      </c>
      <c r="AJ17" s="17">
        <v>1400</v>
      </c>
      <c r="AK17" s="17">
        <v>800</v>
      </c>
      <c r="AL17" s="17">
        <v>996</v>
      </c>
      <c r="AM17" s="17">
        <v>980</v>
      </c>
      <c r="AN17" s="17">
        <v>370</v>
      </c>
      <c r="AO17" s="17">
        <v>46</v>
      </c>
      <c r="AP17" s="17">
        <v>81</v>
      </c>
      <c r="AQ17" s="17">
        <v>15</v>
      </c>
      <c r="AR17" s="17">
        <v>14.2</v>
      </c>
      <c r="AS17" s="17">
        <v>22.6</v>
      </c>
      <c r="AT17" s="17">
        <v>5.3</v>
      </c>
      <c r="AU17" s="17" t="s">
        <v>121</v>
      </c>
      <c r="AV17" s="17">
        <v>2.8</v>
      </c>
      <c r="AW17" s="17" t="s">
        <v>198</v>
      </c>
    </row>
    <row r="18" spans="1:49" ht="36" customHeight="1">
      <c r="A18" s="17" t="s">
        <v>98</v>
      </c>
      <c r="B18" s="17" t="s">
        <v>174</v>
      </c>
      <c r="C18" s="17" t="s">
        <v>175</v>
      </c>
      <c r="D18" s="18"/>
      <c r="E18" s="17"/>
      <c r="F18" s="17" t="s">
        <v>191</v>
      </c>
      <c r="G18" s="17"/>
      <c r="H18" s="17">
        <v>280</v>
      </c>
      <c r="I18" s="17" t="s">
        <v>135</v>
      </c>
      <c r="J18" s="17" t="s">
        <v>199</v>
      </c>
      <c r="K18" s="17" t="s">
        <v>200</v>
      </c>
      <c r="L18" s="17"/>
      <c r="M18" s="17"/>
      <c r="N18" s="17"/>
      <c r="O18" s="17">
        <v>25</v>
      </c>
      <c r="P18" s="17">
        <v>28</v>
      </c>
      <c r="Q18" s="17">
        <v>9.1</v>
      </c>
      <c r="R18" s="17">
        <v>8.1</v>
      </c>
      <c r="S18" s="17">
        <v>5.5</v>
      </c>
      <c r="T18" s="17">
        <v>0.215</v>
      </c>
      <c r="U18" s="17">
        <v>0.12</v>
      </c>
      <c r="V18" s="17">
        <v>2</v>
      </c>
      <c r="W18" s="17" t="s">
        <v>102</v>
      </c>
      <c r="X18" s="17">
        <v>200</v>
      </c>
      <c r="Y18" s="17" t="s">
        <v>129</v>
      </c>
      <c r="Z18" s="17">
        <v>12.7</v>
      </c>
      <c r="AA18" s="17">
        <v>25.4</v>
      </c>
      <c r="AB18" s="17" t="s">
        <v>187</v>
      </c>
      <c r="AC18" s="17" t="s">
        <v>201</v>
      </c>
      <c r="AD18" s="17" t="s">
        <v>202</v>
      </c>
      <c r="AE18" s="17">
        <v>2</v>
      </c>
      <c r="AF18" s="17">
        <v>1</v>
      </c>
      <c r="AG18" s="17" t="s">
        <v>182</v>
      </c>
      <c r="AH18" s="17" t="s">
        <v>203</v>
      </c>
      <c r="AI18" s="17">
        <v>290</v>
      </c>
      <c r="AJ18" s="17">
        <v>1400</v>
      </c>
      <c r="AK18" s="17">
        <v>800</v>
      </c>
      <c r="AL18" s="17">
        <v>1500</v>
      </c>
      <c r="AM18" s="17">
        <v>980</v>
      </c>
      <c r="AN18" s="17">
        <v>370</v>
      </c>
      <c r="AO18" s="17">
        <v>45</v>
      </c>
      <c r="AP18" s="17">
        <v>119</v>
      </c>
      <c r="AQ18" s="17">
        <v>27.9</v>
      </c>
      <c r="AR18" s="17">
        <v>24.9</v>
      </c>
      <c r="AS18" s="17">
        <v>36.5</v>
      </c>
      <c r="AT18" s="17">
        <v>4.9000000000000004</v>
      </c>
      <c r="AU18" s="17" t="s">
        <v>121</v>
      </c>
      <c r="AV18" s="17">
        <v>5.2</v>
      </c>
      <c r="AW18" s="17" t="s">
        <v>204</v>
      </c>
    </row>
    <row r="19" spans="1:49" ht="36" customHeight="1">
      <c r="A19" s="17" t="s">
        <v>98</v>
      </c>
      <c r="B19" s="17" t="s">
        <v>99</v>
      </c>
      <c r="C19" s="17" t="s">
        <v>175</v>
      </c>
      <c r="D19" s="18" t="s">
        <v>205</v>
      </c>
      <c r="E19" s="17" t="s">
        <v>111</v>
      </c>
      <c r="F19" s="17" t="s">
        <v>149</v>
      </c>
      <c r="G19" s="17" t="s">
        <v>150</v>
      </c>
      <c r="H19" s="17">
        <v>63</v>
      </c>
      <c r="I19" s="17" t="s">
        <v>114</v>
      </c>
      <c r="J19" s="17" t="s">
        <v>206</v>
      </c>
      <c r="K19" s="17" t="s">
        <v>101</v>
      </c>
      <c r="L19" s="17"/>
      <c r="M19" s="17"/>
      <c r="N19" s="17"/>
      <c r="O19" s="17">
        <v>5.6</v>
      </c>
      <c r="P19" s="17">
        <v>6.3</v>
      </c>
      <c r="Q19" s="17">
        <v>1.28</v>
      </c>
      <c r="R19" s="17">
        <v>1.34</v>
      </c>
      <c r="S19" s="17">
        <v>1.2</v>
      </c>
      <c r="T19" s="17">
        <v>0.05</v>
      </c>
      <c r="U19" s="17">
        <v>0.04</v>
      </c>
      <c r="V19" s="17">
        <v>1</v>
      </c>
      <c r="W19" s="17" t="s">
        <v>102</v>
      </c>
      <c r="X19" s="17">
        <v>200</v>
      </c>
      <c r="Y19" s="17">
        <v>60</v>
      </c>
      <c r="Z19" s="17">
        <v>6.35</v>
      </c>
      <c r="AA19" s="17">
        <v>12.7</v>
      </c>
      <c r="AB19" s="17" t="s">
        <v>103</v>
      </c>
      <c r="AC19" s="17" t="s">
        <v>207</v>
      </c>
      <c r="AD19" s="17" t="s">
        <v>208</v>
      </c>
      <c r="AE19" s="17">
        <v>1</v>
      </c>
      <c r="AF19" s="17">
        <v>1</v>
      </c>
      <c r="AG19" s="17" t="s">
        <v>119</v>
      </c>
      <c r="AH19" s="17" t="s">
        <v>154</v>
      </c>
      <c r="AI19" s="17">
        <v>258</v>
      </c>
      <c r="AJ19" s="17">
        <v>840</v>
      </c>
      <c r="AK19" s="17">
        <v>840</v>
      </c>
      <c r="AL19" s="17">
        <v>630</v>
      </c>
      <c r="AM19" s="17">
        <v>809</v>
      </c>
      <c r="AN19" s="17">
        <v>300</v>
      </c>
      <c r="AO19" s="17">
        <v>20</v>
      </c>
      <c r="AP19" s="17">
        <v>42</v>
      </c>
      <c r="AQ19" s="17">
        <v>4.0999999999999996</v>
      </c>
      <c r="AR19" s="17">
        <v>4.3</v>
      </c>
      <c r="AS19" s="17">
        <v>10</v>
      </c>
      <c r="AT19" s="17">
        <v>7.3</v>
      </c>
      <c r="AU19" s="17" t="s">
        <v>121</v>
      </c>
      <c r="AV19" s="17">
        <v>2</v>
      </c>
      <c r="AW19" s="17" t="s">
        <v>209</v>
      </c>
    </row>
    <row r="20" spans="1:49" ht="36" customHeight="1">
      <c r="A20" s="17" t="s">
        <v>98</v>
      </c>
      <c r="B20" s="17" t="s">
        <v>99</v>
      </c>
      <c r="C20" s="17" t="s">
        <v>175</v>
      </c>
      <c r="D20" s="18" t="s">
        <v>205</v>
      </c>
      <c r="E20" s="17" t="s">
        <v>111</v>
      </c>
      <c r="F20" s="17" t="s">
        <v>210</v>
      </c>
      <c r="G20" s="17"/>
      <c r="H20" s="17">
        <v>63</v>
      </c>
      <c r="I20" s="17" t="s">
        <v>114</v>
      </c>
      <c r="J20" s="17" t="s">
        <v>211</v>
      </c>
      <c r="K20" s="17" t="s">
        <v>210</v>
      </c>
      <c r="L20" s="17"/>
      <c r="M20" s="17"/>
      <c r="N20" s="17"/>
      <c r="O20" s="17">
        <v>5.6</v>
      </c>
      <c r="P20" s="17">
        <v>6.3</v>
      </c>
      <c r="Q20" s="17">
        <v>1.62</v>
      </c>
      <c r="R20" s="17">
        <v>1.59</v>
      </c>
      <c r="S20" s="17">
        <v>1.2</v>
      </c>
      <c r="T20" s="17">
        <v>0.121</v>
      </c>
      <c r="U20" s="17">
        <v>0.04</v>
      </c>
      <c r="V20" s="17">
        <v>1</v>
      </c>
      <c r="W20" s="17" t="s">
        <v>102</v>
      </c>
      <c r="X20" s="17">
        <v>200</v>
      </c>
      <c r="Y20" s="17">
        <v>60</v>
      </c>
      <c r="Z20" s="17">
        <v>6.35</v>
      </c>
      <c r="AA20" s="17">
        <v>12.7</v>
      </c>
      <c r="AB20" s="17" t="s">
        <v>103</v>
      </c>
      <c r="AC20" s="17" t="s">
        <v>212</v>
      </c>
      <c r="AD20" s="17" t="s">
        <v>208</v>
      </c>
      <c r="AE20" s="17">
        <v>1</v>
      </c>
      <c r="AF20" s="17">
        <v>1</v>
      </c>
      <c r="AG20" s="17" t="s">
        <v>119</v>
      </c>
      <c r="AH20" s="17" t="s">
        <v>213</v>
      </c>
      <c r="AI20" s="17">
        <v>272</v>
      </c>
      <c r="AJ20" s="17">
        <v>1100</v>
      </c>
      <c r="AK20" s="17">
        <v>701</v>
      </c>
      <c r="AL20" s="17">
        <v>630</v>
      </c>
      <c r="AM20" s="17">
        <v>809</v>
      </c>
      <c r="AN20" s="17">
        <v>300</v>
      </c>
      <c r="AO20" s="17">
        <v>33</v>
      </c>
      <c r="AP20" s="17">
        <v>42</v>
      </c>
      <c r="AQ20" s="17">
        <v>5.0999999999999996</v>
      </c>
      <c r="AR20" s="17">
        <v>5</v>
      </c>
      <c r="AS20" s="17">
        <v>10.8</v>
      </c>
      <c r="AT20" s="17">
        <v>5.4</v>
      </c>
      <c r="AU20" s="17" t="s">
        <v>121</v>
      </c>
      <c r="AV20" s="17">
        <v>2</v>
      </c>
      <c r="AW20" s="17" t="s">
        <v>214</v>
      </c>
    </row>
    <row r="21" spans="1:49" ht="36" customHeight="1">
      <c r="A21" s="17" t="s">
        <v>215</v>
      </c>
      <c r="B21" s="17" t="s">
        <v>99</v>
      </c>
      <c r="C21" s="17" t="s">
        <v>175</v>
      </c>
      <c r="D21" s="18" t="s">
        <v>205</v>
      </c>
      <c r="E21" s="17" t="s">
        <v>216</v>
      </c>
      <c r="F21" s="17" t="s">
        <v>176</v>
      </c>
      <c r="G21" s="17"/>
      <c r="H21" s="17">
        <v>22</v>
      </c>
      <c r="I21" s="17" t="s">
        <v>114</v>
      </c>
      <c r="J21" s="17" t="s">
        <v>217</v>
      </c>
      <c r="K21" s="17" t="s">
        <v>215</v>
      </c>
      <c r="L21" s="17"/>
      <c r="M21" s="17"/>
      <c r="N21" s="17"/>
      <c r="O21" s="17">
        <v>2.2000000000000002</v>
      </c>
      <c r="P21" s="17">
        <v>2.5</v>
      </c>
      <c r="Q21" s="17">
        <v>0.42499999999999999</v>
      </c>
      <c r="R21" s="17">
        <v>0.46500000000000002</v>
      </c>
      <c r="S21" s="17">
        <v>0.6</v>
      </c>
      <c r="T21" s="17">
        <v>2.8000000000000001E-2</v>
      </c>
      <c r="U21" s="17">
        <v>0.05</v>
      </c>
      <c r="V21" s="17">
        <v>1</v>
      </c>
      <c r="W21" s="17" t="s">
        <v>218</v>
      </c>
      <c r="X21" s="17">
        <v>100</v>
      </c>
      <c r="Y21" s="17" t="s">
        <v>129</v>
      </c>
      <c r="Z21" s="17">
        <v>6.35</v>
      </c>
      <c r="AA21" s="17">
        <v>9.52</v>
      </c>
      <c r="AB21" s="17" t="s">
        <v>219</v>
      </c>
      <c r="AC21" s="17" t="s">
        <v>220</v>
      </c>
      <c r="AD21" s="17" t="s">
        <v>221</v>
      </c>
      <c r="AE21" s="17">
        <v>1</v>
      </c>
      <c r="AF21" s="17">
        <v>1</v>
      </c>
      <c r="AG21" s="17"/>
      <c r="AH21" s="17"/>
      <c r="AI21" s="17">
        <v>295</v>
      </c>
      <c r="AJ21" s="17">
        <v>799</v>
      </c>
      <c r="AK21" s="17">
        <v>389</v>
      </c>
      <c r="AL21" s="17">
        <v>550</v>
      </c>
      <c r="AM21" s="17">
        <v>800</v>
      </c>
      <c r="AN21" s="17">
        <v>285</v>
      </c>
      <c r="AO21" s="17">
        <v>16</v>
      </c>
      <c r="AP21" s="17">
        <v>28</v>
      </c>
      <c r="AQ21" s="17">
        <v>4.5</v>
      </c>
      <c r="AR21" s="17">
        <v>4.6900000000000004</v>
      </c>
      <c r="AS21" s="17">
        <v>15</v>
      </c>
      <c r="AT21" s="17">
        <v>6.9</v>
      </c>
      <c r="AU21" s="17" t="s">
        <v>121</v>
      </c>
      <c r="AV21" s="17">
        <v>0.67</v>
      </c>
      <c r="AW21" s="17" t="s">
        <v>222</v>
      </c>
    </row>
    <row r="22" spans="1:49" ht="36" customHeight="1">
      <c r="A22" s="17" t="s">
        <v>215</v>
      </c>
      <c r="B22" s="17" t="s">
        <v>99</v>
      </c>
      <c r="C22" s="17" t="s">
        <v>175</v>
      </c>
      <c r="D22" s="18" t="s">
        <v>223</v>
      </c>
      <c r="E22" s="17" t="s">
        <v>224</v>
      </c>
      <c r="F22" s="17" t="s">
        <v>176</v>
      </c>
      <c r="G22" s="17"/>
      <c r="H22" s="17">
        <v>22</v>
      </c>
      <c r="I22" s="17" t="s">
        <v>114</v>
      </c>
      <c r="J22" s="17" t="s">
        <v>225</v>
      </c>
      <c r="K22" s="17" t="s">
        <v>215</v>
      </c>
      <c r="L22" s="17"/>
      <c r="M22" s="17"/>
      <c r="N22" s="17"/>
      <c r="O22" s="17">
        <v>2.2000000000000002</v>
      </c>
      <c r="P22" s="17">
        <v>2.5</v>
      </c>
      <c r="Q22" s="17">
        <v>0.42499999999999999</v>
      </c>
      <c r="R22" s="17">
        <v>0.46500000000000002</v>
      </c>
      <c r="S22" s="17">
        <v>0.6</v>
      </c>
      <c r="T22" s="17">
        <v>2.8000000000000001E-2</v>
      </c>
      <c r="U22" s="17">
        <v>0.05</v>
      </c>
      <c r="V22" s="17">
        <v>1</v>
      </c>
      <c r="W22" s="17">
        <v>1</v>
      </c>
      <c r="X22" s="17">
        <v>100</v>
      </c>
      <c r="Y22" s="17" t="s">
        <v>129</v>
      </c>
      <c r="Z22" s="17">
        <v>6.35</v>
      </c>
      <c r="AA22" s="17">
        <v>9.52</v>
      </c>
      <c r="AB22" s="17" t="s">
        <v>219</v>
      </c>
      <c r="AC22" s="17" t="s">
        <v>226</v>
      </c>
      <c r="AD22" s="17" t="s">
        <v>227</v>
      </c>
      <c r="AE22" s="17">
        <v>1</v>
      </c>
      <c r="AF22" s="17">
        <v>1</v>
      </c>
      <c r="AG22" s="17"/>
      <c r="AH22" s="17"/>
      <c r="AI22" s="17">
        <v>295</v>
      </c>
      <c r="AJ22" s="17">
        <v>799</v>
      </c>
      <c r="AK22" s="17">
        <v>389</v>
      </c>
      <c r="AL22" s="17">
        <v>550</v>
      </c>
      <c r="AM22" s="17">
        <v>800</v>
      </c>
      <c r="AN22" s="17">
        <v>285</v>
      </c>
      <c r="AO22" s="17">
        <v>16</v>
      </c>
      <c r="AP22" s="17">
        <v>28</v>
      </c>
      <c r="AQ22" s="17">
        <v>4.5</v>
      </c>
      <c r="AR22" s="17">
        <v>4.6900000000000004</v>
      </c>
      <c r="AS22" s="17">
        <v>15</v>
      </c>
      <c r="AT22" s="17">
        <v>6.7</v>
      </c>
      <c r="AU22" s="17" t="s">
        <v>121</v>
      </c>
      <c r="AV22" s="17">
        <v>0.71</v>
      </c>
      <c r="AW22" s="17" t="s">
        <v>228</v>
      </c>
    </row>
    <row r="23" spans="1:49" ht="409.6" customHeight="1">
      <c r="A23" s="17" t="s">
        <v>229</v>
      </c>
      <c r="B23" s="17" t="s">
        <v>99</v>
      </c>
      <c r="C23" s="17" t="s">
        <v>175</v>
      </c>
      <c r="D23" s="18" t="s">
        <v>230</v>
      </c>
      <c r="E23" s="17" t="s">
        <v>231</v>
      </c>
      <c r="F23" s="17" t="s">
        <v>232</v>
      </c>
      <c r="G23" s="17"/>
      <c r="H23" s="17">
        <v>280</v>
      </c>
      <c r="I23" s="17" t="s">
        <v>233</v>
      </c>
      <c r="J23" s="17" t="s">
        <v>234</v>
      </c>
      <c r="K23" s="17" t="s">
        <v>235</v>
      </c>
      <c r="L23" s="17"/>
      <c r="M23" s="17"/>
      <c r="N23" s="17"/>
      <c r="O23" s="17">
        <v>25</v>
      </c>
      <c r="P23" s="17">
        <v>28</v>
      </c>
      <c r="Q23" s="17">
        <v>10.4</v>
      </c>
      <c r="R23" s="17">
        <v>8.76</v>
      </c>
      <c r="S23" s="17">
        <v>6</v>
      </c>
      <c r="T23" s="17">
        <v>0.375</v>
      </c>
      <c r="U23" s="17">
        <v>0.2</v>
      </c>
      <c r="V23" s="17">
        <v>2</v>
      </c>
      <c r="W23" s="17">
        <v>3</v>
      </c>
      <c r="X23" s="17">
        <v>200</v>
      </c>
      <c r="Y23" s="17">
        <v>60</v>
      </c>
      <c r="Z23" s="17">
        <v>12.7</v>
      </c>
      <c r="AA23" s="17">
        <v>25.4</v>
      </c>
      <c r="AB23" s="17" t="s">
        <v>236</v>
      </c>
      <c r="AC23" s="17" t="s">
        <v>237</v>
      </c>
      <c r="AD23" s="17" t="s">
        <v>147</v>
      </c>
      <c r="AE23" s="17">
        <v>1</v>
      </c>
      <c r="AF23" s="17">
        <v>1</v>
      </c>
      <c r="AG23" s="17"/>
      <c r="AH23" s="17"/>
      <c r="AI23" s="17">
        <v>1850</v>
      </c>
      <c r="AJ23" s="17">
        <v>1200</v>
      </c>
      <c r="AK23" s="17">
        <v>400</v>
      </c>
      <c r="AL23" s="17">
        <v>1338</v>
      </c>
      <c r="AM23" s="17">
        <v>1050</v>
      </c>
      <c r="AN23" s="17">
        <v>355</v>
      </c>
      <c r="AO23" s="17">
        <v>111</v>
      </c>
      <c r="AP23" s="17">
        <v>117</v>
      </c>
      <c r="AQ23" s="17">
        <v>32.6</v>
      </c>
      <c r="AR23" s="17">
        <v>27.8</v>
      </c>
      <c r="AS23" s="17">
        <v>40.5</v>
      </c>
      <c r="AT23" s="17">
        <v>4</v>
      </c>
      <c r="AU23" s="17" t="s">
        <v>121</v>
      </c>
      <c r="AV23" s="17">
        <v>6.5</v>
      </c>
      <c r="AW23" s="17" t="s">
        <v>238</v>
      </c>
    </row>
    <row r="24" spans="1:49" ht="409.6" customHeight="1">
      <c r="A24" s="17" t="s">
        <v>215</v>
      </c>
      <c r="B24" s="17" t="s">
        <v>239</v>
      </c>
      <c r="C24" s="17" t="s">
        <v>175</v>
      </c>
      <c r="D24" s="18" t="s">
        <v>240</v>
      </c>
      <c r="E24" s="17"/>
      <c r="F24" s="17" t="s">
        <v>176</v>
      </c>
      <c r="G24" s="17"/>
      <c r="H24" s="17">
        <v>25</v>
      </c>
      <c r="I24" s="17" t="s">
        <v>114</v>
      </c>
      <c r="J24" s="17" t="s">
        <v>241</v>
      </c>
      <c r="K24" s="17" t="s">
        <v>242</v>
      </c>
      <c r="L24" s="17"/>
      <c r="M24" s="17"/>
      <c r="N24" s="17"/>
      <c r="O24" s="17">
        <v>2.5</v>
      </c>
      <c r="P24" s="17">
        <v>2.8</v>
      </c>
      <c r="Q24" s="17">
        <v>0.72</v>
      </c>
      <c r="R24" s="17">
        <v>0.63500000000000001</v>
      </c>
      <c r="S24" s="17">
        <v>0.75</v>
      </c>
      <c r="T24" s="17">
        <v>2.5999999999999999E-2</v>
      </c>
      <c r="U24" s="17">
        <v>1.7000000000000001E-2</v>
      </c>
      <c r="V24" s="17">
        <v>1</v>
      </c>
      <c r="W24" s="17">
        <v>1</v>
      </c>
      <c r="X24" s="17">
        <v>100</v>
      </c>
      <c r="Y24" s="17" t="s">
        <v>129</v>
      </c>
      <c r="Z24" s="17">
        <v>6.4</v>
      </c>
      <c r="AA24" s="17">
        <v>9.5</v>
      </c>
      <c r="AB24" s="17" t="s">
        <v>179</v>
      </c>
      <c r="AC24" s="17" t="s">
        <v>243</v>
      </c>
      <c r="AD24" s="17" t="s">
        <v>244</v>
      </c>
      <c r="AE24" s="17">
        <v>1</v>
      </c>
      <c r="AF24" s="17">
        <v>1</v>
      </c>
      <c r="AG24" s="17" t="s">
        <v>245</v>
      </c>
      <c r="AH24" s="17"/>
      <c r="AI24" s="17">
        <v>250</v>
      </c>
      <c r="AJ24" s="17">
        <v>798</v>
      </c>
      <c r="AK24" s="17">
        <v>255</v>
      </c>
      <c r="AL24" s="17">
        <v>550</v>
      </c>
      <c r="AM24" s="17">
        <v>675</v>
      </c>
      <c r="AN24" s="17">
        <v>284</v>
      </c>
      <c r="AO24" s="17">
        <v>8.5</v>
      </c>
      <c r="AP24" s="17">
        <v>20</v>
      </c>
      <c r="AQ24" s="17">
        <v>8.4</v>
      </c>
      <c r="AR24" s="17">
        <v>7.4</v>
      </c>
      <c r="AS24" s="17">
        <v>14</v>
      </c>
      <c r="AT24" s="17">
        <v>5.8</v>
      </c>
      <c r="AU24" s="17" t="s">
        <v>121</v>
      </c>
      <c r="AV24" s="17">
        <v>0.52</v>
      </c>
      <c r="AW24" s="17" t="s">
        <v>246</v>
      </c>
    </row>
    <row r="25" spans="1:49" ht="409.6" customHeight="1">
      <c r="A25" s="17" t="s">
        <v>247</v>
      </c>
      <c r="B25" s="17" t="s">
        <v>239</v>
      </c>
      <c r="C25" s="17" t="s">
        <v>175</v>
      </c>
      <c r="D25" s="18" t="s">
        <v>240</v>
      </c>
      <c r="E25" s="17"/>
      <c r="F25" s="17" t="s">
        <v>248</v>
      </c>
      <c r="G25" s="17"/>
      <c r="H25" s="17">
        <v>45</v>
      </c>
      <c r="I25" s="17" t="s">
        <v>249</v>
      </c>
      <c r="J25" s="17" t="s">
        <v>250</v>
      </c>
      <c r="K25" s="17" t="s">
        <v>251</v>
      </c>
      <c r="L25" s="17"/>
      <c r="M25" s="17"/>
      <c r="N25" s="17"/>
      <c r="O25" s="17">
        <v>4.5</v>
      </c>
      <c r="P25" s="17">
        <v>6</v>
      </c>
      <c r="Q25" s="17">
        <v>1.02</v>
      </c>
      <c r="R25" s="17">
        <v>1.3</v>
      </c>
      <c r="S25" s="17">
        <v>1.3</v>
      </c>
      <c r="T25" s="17"/>
      <c r="U25" s="17">
        <v>3.4000000000000002E-2</v>
      </c>
      <c r="V25" s="17">
        <v>1</v>
      </c>
      <c r="W25" s="17">
        <v>1</v>
      </c>
      <c r="X25" s="17">
        <v>200</v>
      </c>
      <c r="Y25" s="17" t="s">
        <v>129</v>
      </c>
      <c r="Z25" s="17">
        <v>6.4</v>
      </c>
      <c r="AA25" s="17">
        <v>9.5</v>
      </c>
      <c r="AB25" s="17"/>
      <c r="AC25" s="17"/>
      <c r="AD25" s="17" t="s">
        <v>250</v>
      </c>
      <c r="AE25" s="17">
        <v>2</v>
      </c>
      <c r="AF25" s="17">
        <v>1</v>
      </c>
      <c r="AG25" s="17"/>
      <c r="AH25" s="17"/>
      <c r="AI25" s="17"/>
      <c r="AJ25" s="17"/>
      <c r="AK25" s="17"/>
      <c r="AL25" s="17">
        <v>610</v>
      </c>
      <c r="AM25" s="17">
        <v>795</v>
      </c>
      <c r="AN25" s="17">
        <v>300</v>
      </c>
      <c r="AO25" s="17"/>
      <c r="AP25" s="17">
        <v>43</v>
      </c>
      <c r="AQ25" s="17">
        <v>5.3</v>
      </c>
      <c r="AR25" s="17">
        <v>6.7</v>
      </c>
      <c r="AS25" s="17">
        <v>10.6</v>
      </c>
      <c r="AT25" s="17">
        <v>5.8</v>
      </c>
      <c r="AU25" s="17" t="s">
        <v>121</v>
      </c>
      <c r="AV25" s="17">
        <v>1.48</v>
      </c>
      <c r="AW25" s="17" t="s">
        <v>252</v>
      </c>
    </row>
    <row r="26" spans="1:49" ht="409.6" customHeight="1">
      <c r="A26" s="17" t="s">
        <v>215</v>
      </c>
      <c r="B26" s="17" t="s">
        <v>239</v>
      </c>
      <c r="C26" s="17" t="s">
        <v>175</v>
      </c>
      <c r="D26" s="18" t="s">
        <v>240</v>
      </c>
      <c r="E26" s="17"/>
      <c r="F26" s="17" t="s">
        <v>176</v>
      </c>
      <c r="G26" s="17"/>
      <c r="H26" s="17">
        <v>28</v>
      </c>
      <c r="I26" s="17" t="s">
        <v>253</v>
      </c>
      <c r="J26" s="17" t="s">
        <v>254</v>
      </c>
      <c r="K26" s="17" t="s">
        <v>255</v>
      </c>
      <c r="L26" s="17"/>
      <c r="M26" s="17"/>
      <c r="N26" s="17"/>
      <c r="O26" s="17"/>
      <c r="P26" s="17"/>
      <c r="Q26" s="17"/>
      <c r="R26" s="17"/>
      <c r="S26" s="17"/>
      <c r="T26" s="17">
        <v>2.9000000000000001E-2</v>
      </c>
      <c r="U26" s="17"/>
      <c r="V26" s="17"/>
      <c r="W26" s="17">
        <v>1</v>
      </c>
      <c r="X26" s="17">
        <v>200</v>
      </c>
      <c r="Y26" s="17" t="s">
        <v>129</v>
      </c>
      <c r="Z26" s="17">
        <v>6.4</v>
      </c>
      <c r="AA26" s="17">
        <v>9.5</v>
      </c>
      <c r="AB26" s="17" t="s">
        <v>130</v>
      </c>
      <c r="AC26" s="17" t="s">
        <v>254</v>
      </c>
      <c r="AD26" s="17"/>
      <c r="AE26" s="17">
        <v>1</v>
      </c>
      <c r="AF26" s="17"/>
      <c r="AG26" s="17" t="s">
        <v>256</v>
      </c>
      <c r="AH26" s="17"/>
      <c r="AI26" s="17">
        <v>250</v>
      </c>
      <c r="AJ26" s="17">
        <v>798</v>
      </c>
      <c r="AK26" s="17">
        <v>255</v>
      </c>
      <c r="AL26" s="17"/>
      <c r="AM26" s="17"/>
      <c r="AN26" s="17"/>
      <c r="AO26" s="17">
        <v>9.5</v>
      </c>
      <c r="AP26" s="17"/>
      <c r="AQ26" s="17"/>
      <c r="AR26" s="17"/>
      <c r="AS26" s="17"/>
      <c r="AT26" s="17"/>
      <c r="AU26" s="17"/>
      <c r="AV26" s="17"/>
      <c r="AW26" s="17" t="s">
        <v>257</v>
      </c>
    </row>
    <row r="27" spans="1:49" ht="409.6" customHeight="1">
      <c r="A27" s="17" t="s">
        <v>215</v>
      </c>
      <c r="B27" s="17" t="s">
        <v>239</v>
      </c>
      <c r="C27" s="17" t="s">
        <v>175</v>
      </c>
      <c r="D27" s="18" t="s">
        <v>240</v>
      </c>
      <c r="E27" s="17"/>
      <c r="F27" s="17" t="s">
        <v>176</v>
      </c>
      <c r="G27" s="17"/>
      <c r="H27" s="17">
        <v>22</v>
      </c>
      <c r="I27" s="17" t="s">
        <v>253</v>
      </c>
      <c r="J27" s="17" t="s">
        <v>258</v>
      </c>
      <c r="K27" s="17" t="s">
        <v>255</v>
      </c>
      <c r="L27" s="17"/>
      <c r="M27" s="17"/>
      <c r="N27" s="17"/>
      <c r="O27" s="17"/>
      <c r="P27" s="17"/>
      <c r="Q27" s="17"/>
      <c r="R27" s="17"/>
      <c r="S27" s="17"/>
      <c r="T27" s="17">
        <v>2.9000000000000001E-2</v>
      </c>
      <c r="U27" s="17"/>
      <c r="V27" s="17"/>
      <c r="W27" s="17">
        <v>1</v>
      </c>
      <c r="X27" s="17">
        <v>200</v>
      </c>
      <c r="Y27" s="17" t="s">
        <v>129</v>
      </c>
      <c r="Z27" s="17">
        <v>6.4</v>
      </c>
      <c r="AA27" s="17">
        <v>9.5</v>
      </c>
      <c r="AB27" s="17" t="s">
        <v>130</v>
      </c>
      <c r="AC27" s="17" t="s">
        <v>258</v>
      </c>
      <c r="AD27" s="17"/>
      <c r="AE27" s="17">
        <v>1</v>
      </c>
      <c r="AF27" s="17"/>
      <c r="AG27" s="17" t="s">
        <v>256</v>
      </c>
      <c r="AH27" s="17"/>
      <c r="AI27" s="17">
        <v>250</v>
      </c>
      <c r="AJ27" s="17">
        <v>798</v>
      </c>
      <c r="AK27" s="17">
        <v>255</v>
      </c>
      <c r="AL27" s="17"/>
      <c r="AM27" s="17"/>
      <c r="AN27" s="17"/>
      <c r="AO27" s="17">
        <v>9.5</v>
      </c>
      <c r="AP27" s="17"/>
      <c r="AQ27" s="17"/>
      <c r="AR27" s="17"/>
      <c r="AS27" s="17"/>
      <c r="AT27" s="17"/>
      <c r="AU27" s="17"/>
      <c r="AV27" s="17"/>
      <c r="AW27" s="17" t="s">
        <v>259</v>
      </c>
    </row>
    <row r="28" spans="1:49" ht="409.6" customHeight="1">
      <c r="A28" s="26" t="s">
        <v>215</v>
      </c>
      <c r="B28" s="26" t="s">
        <v>99</v>
      </c>
      <c r="C28" s="26" t="s">
        <v>175</v>
      </c>
      <c r="D28" s="27" t="s">
        <v>260</v>
      </c>
      <c r="E28" s="26" t="s">
        <v>216</v>
      </c>
      <c r="F28" s="26" t="s">
        <v>176</v>
      </c>
      <c r="G28" s="26"/>
      <c r="H28" s="26">
        <v>22</v>
      </c>
      <c r="I28" s="26" t="s">
        <v>114</v>
      </c>
      <c r="J28" s="26" t="s">
        <v>261</v>
      </c>
      <c r="K28" s="26" t="s">
        <v>215</v>
      </c>
      <c r="L28" s="26"/>
      <c r="M28" s="26"/>
      <c r="N28" s="26"/>
      <c r="O28" s="26">
        <v>2.2000000000000002</v>
      </c>
      <c r="P28" s="26">
        <v>2.5</v>
      </c>
      <c r="Q28" s="26">
        <v>0.42499999999999999</v>
      </c>
      <c r="R28" s="26">
        <v>0.46500000000000002</v>
      </c>
      <c r="S28" s="26">
        <v>0.6</v>
      </c>
      <c r="T28" s="26">
        <v>2.8000000000000001E-2</v>
      </c>
      <c r="U28" s="26">
        <v>0.05</v>
      </c>
      <c r="V28" s="26">
        <v>1</v>
      </c>
      <c r="W28" s="26" t="s">
        <v>218</v>
      </c>
      <c r="X28" s="26">
        <v>100</v>
      </c>
      <c r="Y28" s="26" t="s">
        <v>129</v>
      </c>
      <c r="Z28" s="26">
        <v>6.35</v>
      </c>
      <c r="AA28" s="26">
        <v>9.52</v>
      </c>
      <c r="AB28" s="26" t="s">
        <v>219</v>
      </c>
      <c r="AC28" s="26" t="s">
        <v>262</v>
      </c>
      <c r="AD28" s="26" t="s">
        <v>263</v>
      </c>
      <c r="AE28" s="26">
        <v>1</v>
      </c>
      <c r="AF28" s="26">
        <v>1</v>
      </c>
      <c r="AG28" s="26"/>
      <c r="AH28" s="26"/>
      <c r="AI28" s="26">
        <v>295</v>
      </c>
      <c r="AJ28" s="26">
        <v>799</v>
      </c>
      <c r="AK28" s="26">
        <v>389</v>
      </c>
      <c r="AL28" s="26">
        <v>550</v>
      </c>
      <c r="AM28" s="26">
        <v>800</v>
      </c>
      <c r="AN28" s="26">
        <v>285</v>
      </c>
      <c r="AO28" s="26">
        <v>16</v>
      </c>
      <c r="AP28" s="26">
        <v>28</v>
      </c>
      <c r="AQ28" s="26">
        <v>4.5</v>
      </c>
      <c r="AR28" s="26">
        <v>4.6900000000000004</v>
      </c>
      <c r="AS28" s="26">
        <v>15</v>
      </c>
      <c r="AT28" s="26">
        <v>6.9</v>
      </c>
      <c r="AU28" s="26" t="s">
        <v>121</v>
      </c>
      <c r="AV28" s="26">
        <v>0.67</v>
      </c>
      <c r="AW28" s="26" t="s">
        <v>264</v>
      </c>
    </row>
    <row r="29" spans="1:49" ht="409.6" customHeight="1">
      <c r="A29" s="26" t="s">
        <v>215</v>
      </c>
      <c r="B29" s="26" t="s">
        <v>99</v>
      </c>
      <c r="C29" s="26" t="s">
        <v>175</v>
      </c>
      <c r="D29" s="27" t="s">
        <v>260</v>
      </c>
      <c r="E29" s="26" t="s">
        <v>216</v>
      </c>
      <c r="F29" s="26" t="s">
        <v>176</v>
      </c>
      <c r="G29" s="26"/>
      <c r="H29" s="26">
        <v>25</v>
      </c>
      <c r="I29" s="26" t="s">
        <v>114</v>
      </c>
      <c r="J29" s="26" t="s">
        <v>265</v>
      </c>
      <c r="K29" s="26" t="s">
        <v>215</v>
      </c>
      <c r="L29" s="26"/>
      <c r="M29" s="26"/>
      <c r="N29" s="26"/>
      <c r="O29" s="26">
        <v>2.5</v>
      </c>
      <c r="P29" s="26">
        <v>2.8</v>
      </c>
      <c r="Q29" s="26">
        <v>0.5</v>
      </c>
      <c r="R29" s="26">
        <v>0.52500000000000002</v>
      </c>
      <c r="S29" s="26">
        <v>0.65</v>
      </c>
      <c r="T29" s="26">
        <v>2.8000000000000001E-2</v>
      </c>
      <c r="U29" s="26">
        <v>0.05</v>
      </c>
      <c r="V29" s="26">
        <v>1</v>
      </c>
      <c r="W29" s="26" t="s">
        <v>218</v>
      </c>
      <c r="X29" s="26">
        <v>100</v>
      </c>
      <c r="Y29" s="26" t="s">
        <v>129</v>
      </c>
      <c r="Z29" s="26">
        <v>6.35</v>
      </c>
      <c r="AA29" s="26">
        <v>9.52</v>
      </c>
      <c r="AB29" s="26" t="s">
        <v>219</v>
      </c>
      <c r="AC29" s="26" t="s">
        <v>266</v>
      </c>
      <c r="AD29" s="26" t="s">
        <v>267</v>
      </c>
      <c r="AE29" s="26">
        <v>1</v>
      </c>
      <c r="AF29" s="26">
        <v>1</v>
      </c>
      <c r="AG29" s="26"/>
      <c r="AH29" s="26"/>
      <c r="AI29" s="26">
        <v>295</v>
      </c>
      <c r="AJ29" s="26">
        <v>799</v>
      </c>
      <c r="AK29" s="26">
        <v>389</v>
      </c>
      <c r="AL29" s="26">
        <v>550</v>
      </c>
      <c r="AM29" s="26">
        <v>800</v>
      </c>
      <c r="AN29" s="26">
        <v>285</v>
      </c>
      <c r="AO29" s="26">
        <v>16</v>
      </c>
      <c r="AP29" s="26">
        <v>28</v>
      </c>
      <c r="AQ29" s="26">
        <v>5.3</v>
      </c>
      <c r="AR29" s="26">
        <v>5.3</v>
      </c>
      <c r="AS29" s="26">
        <v>15</v>
      </c>
      <c r="AT29" s="26">
        <v>6.8</v>
      </c>
      <c r="AU29" s="26" t="s">
        <v>121</v>
      </c>
      <c r="AV29" s="26">
        <v>0.67</v>
      </c>
      <c r="AW29" s="26" t="s">
        <v>268</v>
      </c>
    </row>
    <row r="30" spans="1:49" ht="409.6" customHeight="1">
      <c r="A30" s="26" t="s">
        <v>215</v>
      </c>
      <c r="B30" s="26" t="s">
        <v>99</v>
      </c>
      <c r="C30" s="26" t="s">
        <v>175</v>
      </c>
      <c r="D30" s="27" t="s">
        <v>260</v>
      </c>
      <c r="E30" s="26" t="s">
        <v>216</v>
      </c>
      <c r="F30" s="26" t="s">
        <v>176</v>
      </c>
      <c r="G30" s="26"/>
      <c r="H30" s="26">
        <v>28</v>
      </c>
      <c r="I30" s="26" t="s">
        <v>114</v>
      </c>
      <c r="J30" s="26" t="s">
        <v>269</v>
      </c>
      <c r="K30" s="26" t="s">
        <v>215</v>
      </c>
      <c r="L30" s="26"/>
      <c r="M30" s="26"/>
      <c r="N30" s="26"/>
      <c r="O30" s="26">
        <v>2.8</v>
      </c>
      <c r="P30" s="26">
        <v>3.6</v>
      </c>
      <c r="Q30" s="26">
        <v>0.57999999999999996</v>
      </c>
      <c r="R30" s="26">
        <v>0.71</v>
      </c>
      <c r="S30" s="26">
        <v>0.75</v>
      </c>
      <c r="T30" s="26">
        <v>2.8000000000000001E-2</v>
      </c>
      <c r="U30" s="26">
        <v>0.05</v>
      </c>
      <c r="V30" s="26">
        <v>1</v>
      </c>
      <c r="W30" s="26" t="s">
        <v>218</v>
      </c>
      <c r="X30" s="26">
        <v>100</v>
      </c>
      <c r="Y30" s="26" t="s">
        <v>129</v>
      </c>
      <c r="Z30" s="26">
        <v>6.35</v>
      </c>
      <c r="AA30" s="26">
        <v>9.52</v>
      </c>
      <c r="AB30" s="26" t="s">
        <v>219</v>
      </c>
      <c r="AC30" s="26" t="s">
        <v>270</v>
      </c>
      <c r="AD30" s="26" t="s">
        <v>271</v>
      </c>
      <c r="AE30" s="26">
        <v>1</v>
      </c>
      <c r="AF30" s="26">
        <v>1</v>
      </c>
      <c r="AG30" s="26"/>
      <c r="AH30" s="26"/>
      <c r="AI30" s="26">
        <v>295</v>
      </c>
      <c r="AJ30" s="26">
        <v>799</v>
      </c>
      <c r="AK30" s="26">
        <v>389</v>
      </c>
      <c r="AL30" s="26">
        <v>550</v>
      </c>
      <c r="AM30" s="26">
        <v>800</v>
      </c>
      <c r="AN30" s="26">
        <v>285</v>
      </c>
      <c r="AO30" s="26">
        <v>16</v>
      </c>
      <c r="AP30" s="26">
        <v>33</v>
      </c>
      <c r="AQ30" s="26">
        <v>6.17</v>
      </c>
      <c r="AR30" s="26">
        <v>7.17</v>
      </c>
      <c r="AS30" s="26">
        <v>20</v>
      </c>
      <c r="AT30" s="26">
        <v>6.9</v>
      </c>
      <c r="AU30" s="26" t="s">
        <v>121</v>
      </c>
      <c r="AV30" s="26">
        <v>0.87</v>
      </c>
      <c r="AW30" s="26" t="s">
        <v>272</v>
      </c>
    </row>
    <row r="31" spans="1:49" ht="409.6" customHeight="1">
      <c r="A31" s="26" t="s">
        <v>215</v>
      </c>
      <c r="B31" s="26" t="s">
        <v>99</v>
      </c>
      <c r="C31" s="26" t="s">
        <v>175</v>
      </c>
      <c r="D31" s="27" t="s">
        <v>260</v>
      </c>
      <c r="E31" s="26" t="s">
        <v>216</v>
      </c>
      <c r="F31" s="26" t="s">
        <v>176</v>
      </c>
      <c r="G31" s="26"/>
      <c r="H31" s="26">
        <v>71</v>
      </c>
      <c r="I31" s="26" t="s">
        <v>114</v>
      </c>
      <c r="J31" s="26" t="s">
        <v>273</v>
      </c>
      <c r="K31" s="26" t="s">
        <v>215</v>
      </c>
      <c r="L31" s="26"/>
      <c r="M31" s="26"/>
      <c r="N31" s="26"/>
      <c r="O31" s="26">
        <v>7.1</v>
      </c>
      <c r="P31" s="26">
        <v>8.5</v>
      </c>
      <c r="Q31" s="26">
        <v>2.38</v>
      </c>
      <c r="R31" s="26">
        <v>2.2200000000000002</v>
      </c>
      <c r="S31" s="26">
        <v>2</v>
      </c>
      <c r="T31" s="26">
        <v>4.5999999999999999E-2</v>
      </c>
      <c r="U31" s="26">
        <v>0.05</v>
      </c>
      <c r="V31" s="26">
        <v>1</v>
      </c>
      <c r="W31" s="26" t="s">
        <v>218</v>
      </c>
      <c r="X31" s="26">
        <v>200</v>
      </c>
      <c r="Y31" s="26" t="s">
        <v>129</v>
      </c>
      <c r="Z31" s="26">
        <v>6.35</v>
      </c>
      <c r="AA31" s="26">
        <v>12.7</v>
      </c>
      <c r="AB31" s="26" t="s">
        <v>219</v>
      </c>
      <c r="AC31" s="26" t="s">
        <v>274</v>
      </c>
      <c r="AD31" s="26" t="s">
        <v>275</v>
      </c>
      <c r="AE31" s="26">
        <v>1</v>
      </c>
      <c r="AF31" s="26">
        <v>1</v>
      </c>
      <c r="AG31" s="26"/>
      <c r="AH31" s="26"/>
      <c r="AI31" s="26">
        <v>295</v>
      </c>
      <c r="AJ31" s="26">
        <v>799</v>
      </c>
      <c r="AK31" s="26">
        <v>389</v>
      </c>
      <c r="AL31" s="26">
        <v>714</v>
      </c>
      <c r="AM31" s="26">
        <v>800</v>
      </c>
      <c r="AN31" s="26">
        <v>285</v>
      </c>
      <c r="AO31" s="26">
        <v>19</v>
      </c>
      <c r="AP31" s="26">
        <v>41</v>
      </c>
      <c r="AQ31" s="26">
        <v>12.65</v>
      </c>
      <c r="AR31" s="26">
        <v>11.2</v>
      </c>
      <c r="AS31" s="26">
        <v>20</v>
      </c>
      <c r="AT31" s="26">
        <v>5.9</v>
      </c>
      <c r="AU31" s="26" t="s">
        <v>121</v>
      </c>
      <c r="AV31" s="26">
        <v>1.25</v>
      </c>
      <c r="AW31" s="26" t="s">
        <v>276</v>
      </c>
    </row>
    <row r="32" spans="1:49" ht="92.4" customHeight="1">
      <c r="A32" s="26" t="s">
        <v>98</v>
      </c>
      <c r="B32" s="26" t="s">
        <v>99</v>
      </c>
      <c r="C32" s="26" t="s">
        <v>109</v>
      </c>
      <c r="D32" s="27" t="s">
        <v>110</v>
      </c>
      <c r="E32" s="26" t="s">
        <v>111</v>
      </c>
      <c r="F32" s="26" t="s">
        <v>143</v>
      </c>
      <c r="G32" s="26" t="s">
        <v>143</v>
      </c>
      <c r="H32" s="26">
        <v>160</v>
      </c>
      <c r="I32" s="26" t="s">
        <v>114</v>
      </c>
      <c r="J32" s="26" t="s">
        <v>277</v>
      </c>
      <c r="K32" s="26" t="s">
        <v>278</v>
      </c>
      <c r="L32" s="26"/>
      <c r="M32" s="26"/>
      <c r="N32" s="26"/>
      <c r="O32" s="26">
        <v>14</v>
      </c>
      <c r="P32" s="26">
        <v>16</v>
      </c>
      <c r="Q32" s="26">
        <v>4.87</v>
      </c>
      <c r="R32" s="26">
        <v>4.6500000000000004</v>
      </c>
      <c r="S32" s="26">
        <v>3.1</v>
      </c>
      <c r="T32" s="26">
        <v>0.16</v>
      </c>
      <c r="U32" s="26">
        <v>0.06</v>
      </c>
      <c r="V32" s="26">
        <v>2</v>
      </c>
      <c r="W32" s="26" t="s">
        <v>102</v>
      </c>
      <c r="X32" s="26">
        <v>200</v>
      </c>
      <c r="Y32" s="26">
        <v>50</v>
      </c>
      <c r="Z32" s="26">
        <v>9.52</v>
      </c>
      <c r="AA32" s="26">
        <v>15.88</v>
      </c>
      <c r="AB32" s="26" t="s">
        <v>236</v>
      </c>
      <c r="AC32" s="26" t="s">
        <v>279</v>
      </c>
      <c r="AD32" s="26" t="s">
        <v>280</v>
      </c>
      <c r="AE32" s="26">
        <v>1</v>
      </c>
      <c r="AF32" s="26">
        <v>1</v>
      </c>
      <c r="AG32" s="26" t="s">
        <v>119</v>
      </c>
      <c r="AH32" s="26"/>
      <c r="AI32" s="26">
        <v>230</v>
      </c>
      <c r="AJ32" s="26">
        <v>1600</v>
      </c>
      <c r="AK32" s="26">
        <v>680</v>
      </c>
      <c r="AL32" s="26">
        <v>1338</v>
      </c>
      <c r="AM32" s="26">
        <v>1050</v>
      </c>
      <c r="AN32" s="26">
        <v>330</v>
      </c>
      <c r="AO32" s="26">
        <v>38</v>
      </c>
      <c r="AP32" s="26">
        <v>113</v>
      </c>
      <c r="AQ32" s="26">
        <v>15</v>
      </c>
      <c r="AR32" s="26">
        <v>14.3</v>
      </c>
      <c r="AS32" s="26">
        <v>28</v>
      </c>
      <c r="AT32" s="26">
        <v>5.0999999999999996</v>
      </c>
      <c r="AU32" s="26" t="s">
        <v>121</v>
      </c>
      <c r="AV32" s="26">
        <v>4</v>
      </c>
      <c r="AW32" s="26" t="s">
        <v>281</v>
      </c>
    </row>
    <row r="33" spans="1:49" ht="105.6" customHeight="1">
      <c r="A33" s="26" t="s">
        <v>282</v>
      </c>
      <c r="B33" s="26" t="s">
        <v>99</v>
      </c>
      <c r="C33" s="26" t="s">
        <v>109</v>
      </c>
      <c r="D33" s="27" t="s">
        <v>110</v>
      </c>
      <c r="E33" s="26"/>
      <c r="F33" s="26" t="s">
        <v>176</v>
      </c>
      <c r="G33" s="26" t="s">
        <v>176</v>
      </c>
      <c r="H33" s="26">
        <v>22</v>
      </c>
      <c r="I33" s="26" t="s">
        <v>114</v>
      </c>
      <c r="J33" s="26" t="s">
        <v>283</v>
      </c>
      <c r="K33" s="26" t="s">
        <v>215</v>
      </c>
      <c r="L33" s="26"/>
      <c r="M33" s="26"/>
      <c r="N33" s="26"/>
      <c r="O33" s="26">
        <v>2.2000000000000002</v>
      </c>
      <c r="P33" s="26">
        <v>2.8</v>
      </c>
      <c r="Q33" s="26">
        <v>0.45</v>
      </c>
      <c r="R33" s="26">
        <v>0.52500000000000002</v>
      </c>
      <c r="S33" s="26">
        <v>0.6</v>
      </c>
      <c r="T33" s="26">
        <v>2.8000000000000001E-2</v>
      </c>
      <c r="U33" s="26">
        <v>0.05</v>
      </c>
      <c r="V33" s="26">
        <v>1</v>
      </c>
      <c r="W33" s="26">
        <v>1</v>
      </c>
      <c r="X33" s="26">
        <v>100</v>
      </c>
      <c r="Y33" s="26" t="s">
        <v>129</v>
      </c>
      <c r="Z33" s="26">
        <v>6.35</v>
      </c>
      <c r="AA33" s="26">
        <v>9.52</v>
      </c>
      <c r="AB33" s="26" t="s">
        <v>284</v>
      </c>
      <c r="AC33" s="26" t="s">
        <v>285</v>
      </c>
      <c r="AD33" s="26" t="s">
        <v>286</v>
      </c>
      <c r="AE33" s="26">
        <v>1</v>
      </c>
      <c r="AF33" s="26">
        <v>1</v>
      </c>
      <c r="AG33" s="26"/>
      <c r="AH33" s="26"/>
      <c r="AI33" s="26">
        <v>255</v>
      </c>
      <c r="AJ33" s="26">
        <v>799</v>
      </c>
      <c r="AK33" s="26">
        <v>338</v>
      </c>
      <c r="AL33" s="26">
        <v>550</v>
      </c>
      <c r="AM33" s="26">
        <v>800</v>
      </c>
      <c r="AN33" s="26">
        <v>285</v>
      </c>
      <c r="AO33" s="26">
        <v>14</v>
      </c>
      <c r="AP33" s="26">
        <v>32</v>
      </c>
      <c r="AQ33" s="26">
        <v>4.78</v>
      </c>
      <c r="AR33" s="26">
        <v>5.3</v>
      </c>
      <c r="AS33" s="26">
        <v>20</v>
      </c>
      <c r="AT33" s="26">
        <v>6.6</v>
      </c>
      <c r="AU33" s="26" t="s">
        <v>121</v>
      </c>
      <c r="AV33" s="26">
        <v>0.9</v>
      </c>
      <c r="AW33" s="26" t="s">
        <v>287</v>
      </c>
    </row>
    <row r="34" spans="1:49" ht="105.6" customHeight="1">
      <c r="A34" s="26" t="s">
        <v>282</v>
      </c>
      <c r="B34" s="26" t="s">
        <v>99</v>
      </c>
      <c r="C34" s="26" t="s">
        <v>109</v>
      </c>
      <c r="D34" s="27" t="s">
        <v>110</v>
      </c>
      <c r="E34" s="26"/>
      <c r="F34" s="26" t="s">
        <v>176</v>
      </c>
      <c r="G34" s="26" t="s">
        <v>176</v>
      </c>
      <c r="H34" s="26">
        <v>28</v>
      </c>
      <c r="I34" s="26" t="s">
        <v>114</v>
      </c>
      <c r="J34" s="26" t="s">
        <v>288</v>
      </c>
      <c r="K34" s="26" t="s">
        <v>215</v>
      </c>
      <c r="L34" s="26"/>
      <c r="M34" s="26"/>
      <c r="N34" s="26"/>
      <c r="O34" s="26">
        <v>2.8</v>
      </c>
      <c r="P34" s="26">
        <v>4</v>
      </c>
      <c r="Q34" s="26">
        <v>0.57999999999999996</v>
      </c>
      <c r="R34" s="26">
        <v>0.85</v>
      </c>
      <c r="S34" s="26">
        <v>0.75</v>
      </c>
      <c r="T34" s="26">
        <v>4.5999999999999999E-2</v>
      </c>
      <c r="U34" s="26">
        <v>0.05</v>
      </c>
      <c r="V34" s="26">
        <v>1</v>
      </c>
      <c r="W34" s="26">
        <v>1</v>
      </c>
      <c r="X34" s="26">
        <v>200</v>
      </c>
      <c r="Y34" s="26" t="s">
        <v>129</v>
      </c>
      <c r="Z34" s="26">
        <v>6.35</v>
      </c>
      <c r="AA34" s="26">
        <v>9.52</v>
      </c>
      <c r="AB34" s="26" t="s">
        <v>284</v>
      </c>
      <c r="AC34" s="26" t="s">
        <v>289</v>
      </c>
      <c r="AD34" s="26" t="s">
        <v>290</v>
      </c>
      <c r="AE34" s="26">
        <v>1</v>
      </c>
      <c r="AF34" s="26">
        <v>1</v>
      </c>
      <c r="AG34" s="26"/>
      <c r="AH34" s="26"/>
      <c r="AI34" s="26">
        <v>255</v>
      </c>
      <c r="AJ34" s="26">
        <v>799</v>
      </c>
      <c r="AK34" s="26">
        <v>338</v>
      </c>
      <c r="AL34" s="26">
        <v>550</v>
      </c>
      <c r="AM34" s="26">
        <v>800</v>
      </c>
      <c r="AN34" s="26">
        <v>285</v>
      </c>
      <c r="AO34" s="26">
        <v>14</v>
      </c>
      <c r="AP34" s="26">
        <v>35</v>
      </c>
      <c r="AQ34" s="26">
        <v>3.08</v>
      </c>
      <c r="AR34" s="26">
        <v>4.29</v>
      </c>
      <c r="AS34" s="26">
        <v>15</v>
      </c>
      <c r="AT34" s="26">
        <v>6.3</v>
      </c>
      <c r="AU34" s="26" t="s">
        <v>121</v>
      </c>
      <c r="AV34" s="26">
        <v>0.9</v>
      </c>
      <c r="AW34" s="26" t="s">
        <v>287</v>
      </c>
    </row>
    <row r="35" spans="1:49" ht="171.6">
      <c r="A35" s="26" t="s">
        <v>98</v>
      </c>
      <c r="B35" s="26" t="s">
        <v>99</v>
      </c>
      <c r="C35" s="26"/>
      <c r="D35" s="27" t="s">
        <v>291</v>
      </c>
      <c r="E35" s="26"/>
      <c r="F35" s="26"/>
      <c r="G35" s="26"/>
      <c r="H35" s="26"/>
      <c r="I35" s="26" t="s">
        <v>292</v>
      </c>
      <c r="J35" s="26" t="s">
        <v>293</v>
      </c>
      <c r="K35" s="26"/>
      <c r="L35" s="26"/>
      <c r="M35" s="26"/>
      <c r="N35" s="26"/>
      <c r="O35" s="26">
        <v>25</v>
      </c>
      <c r="P35" s="26">
        <v>28</v>
      </c>
      <c r="Q35" s="26">
        <v>9.77</v>
      </c>
      <c r="R35" s="26">
        <v>8.6300000000000008</v>
      </c>
      <c r="S35" s="26"/>
      <c r="T35" s="26"/>
      <c r="U35" s="26"/>
      <c r="V35" s="26"/>
      <c r="W35" s="26">
        <v>3</v>
      </c>
      <c r="X35" s="26">
        <v>200</v>
      </c>
      <c r="Y35" s="26" t="s">
        <v>129</v>
      </c>
      <c r="Z35" s="26">
        <v>12.7</v>
      </c>
      <c r="AA35" s="26">
        <v>25.4</v>
      </c>
      <c r="AB35" s="26"/>
      <c r="AC35" s="26" t="s">
        <v>294</v>
      </c>
      <c r="AD35" s="26" t="s">
        <v>147</v>
      </c>
      <c r="AE35" s="26">
        <v>2</v>
      </c>
      <c r="AF35" s="26">
        <v>1</v>
      </c>
      <c r="AG35" s="26"/>
      <c r="AH35" s="26"/>
      <c r="AI35" s="26"/>
      <c r="AJ35" s="26"/>
      <c r="AK35" s="26"/>
      <c r="AL35" s="26"/>
      <c r="AM35" s="26"/>
      <c r="AN35" s="26"/>
      <c r="AO35" s="26"/>
      <c r="AP35" s="26"/>
      <c r="AQ35" s="26"/>
      <c r="AR35" s="26"/>
      <c r="AS35" s="26"/>
      <c r="AT35" s="26"/>
      <c r="AU35" s="26"/>
      <c r="AV35" s="26"/>
      <c r="AW35" s="26" t="s">
        <v>295</v>
      </c>
    </row>
    <row r="36" spans="1:49" ht="145.19999999999999">
      <c r="A36" s="26" t="s">
        <v>98</v>
      </c>
      <c r="B36" s="26" t="s">
        <v>239</v>
      </c>
      <c r="C36" s="26"/>
      <c r="D36" s="27" t="s">
        <v>291</v>
      </c>
      <c r="E36" s="26"/>
      <c r="F36" s="26"/>
      <c r="G36" s="26"/>
      <c r="H36" s="26"/>
      <c r="I36" s="26" t="s">
        <v>114</v>
      </c>
      <c r="J36" s="26" t="s">
        <v>296</v>
      </c>
      <c r="K36" s="26"/>
      <c r="L36" s="26"/>
      <c r="M36" s="26"/>
      <c r="N36" s="26"/>
      <c r="O36" s="26">
        <v>14</v>
      </c>
      <c r="P36" s="26">
        <v>16</v>
      </c>
      <c r="Q36" s="26"/>
      <c r="R36" s="26"/>
      <c r="S36" s="26"/>
      <c r="T36" s="26"/>
      <c r="U36" s="26"/>
      <c r="V36" s="26"/>
      <c r="W36" s="26">
        <v>3</v>
      </c>
      <c r="X36" s="26">
        <v>200</v>
      </c>
      <c r="Y36" s="26" t="s">
        <v>129</v>
      </c>
      <c r="Z36" s="26"/>
      <c r="AA36" s="26"/>
      <c r="AB36" s="26"/>
      <c r="AC36" s="26"/>
      <c r="AD36" s="26"/>
      <c r="AE36" s="26">
        <v>1</v>
      </c>
      <c r="AF36" s="26">
        <v>1</v>
      </c>
      <c r="AG36" s="26"/>
      <c r="AH36" s="26"/>
      <c r="AI36" s="26"/>
      <c r="AJ36" s="26"/>
      <c r="AK36" s="26"/>
      <c r="AL36" s="26"/>
      <c r="AM36" s="26"/>
      <c r="AN36" s="26"/>
      <c r="AO36" s="26"/>
      <c r="AP36" s="26"/>
      <c r="AQ36" s="26"/>
      <c r="AR36" s="26"/>
      <c r="AS36" s="26"/>
      <c r="AT36" s="26"/>
      <c r="AU36" s="26"/>
      <c r="AV36" s="26"/>
      <c r="AW36" s="26" t="s">
        <v>297</v>
      </c>
    </row>
    <row r="37" spans="1:49" ht="184.8">
      <c r="A37" s="26" t="s">
        <v>282</v>
      </c>
      <c r="B37" s="26" t="s">
        <v>239</v>
      </c>
      <c r="C37" s="26"/>
      <c r="D37" s="27" t="s">
        <v>291</v>
      </c>
      <c r="E37" s="26"/>
      <c r="F37" s="26"/>
      <c r="G37" s="26"/>
      <c r="H37" s="26"/>
      <c r="I37" s="26"/>
      <c r="J37" s="26" t="s">
        <v>298</v>
      </c>
      <c r="K37" s="26"/>
      <c r="L37" s="26"/>
      <c r="M37" s="26"/>
      <c r="N37" s="26"/>
      <c r="O37" s="26">
        <v>7.1</v>
      </c>
      <c r="P37" s="26">
        <v>8.5</v>
      </c>
      <c r="Q37" s="26"/>
      <c r="R37" s="26"/>
      <c r="S37" s="26"/>
      <c r="T37" s="26"/>
      <c r="U37" s="26"/>
      <c r="V37" s="26"/>
      <c r="W37" s="26">
        <v>1</v>
      </c>
      <c r="X37" s="26">
        <v>200</v>
      </c>
      <c r="Y37" s="26" t="s">
        <v>129</v>
      </c>
      <c r="Z37" s="26">
        <v>6.4</v>
      </c>
      <c r="AA37" s="26">
        <v>12.7</v>
      </c>
      <c r="AB37" s="26"/>
      <c r="AC37" s="26" t="s">
        <v>298</v>
      </c>
      <c r="AD37" s="26" t="s">
        <v>299</v>
      </c>
      <c r="AE37" s="26">
        <v>1</v>
      </c>
      <c r="AF37" s="26">
        <v>1</v>
      </c>
      <c r="AG37" s="26"/>
      <c r="AH37" s="26"/>
      <c r="AI37" s="26"/>
      <c r="AJ37" s="26"/>
      <c r="AK37" s="26"/>
      <c r="AL37" s="26"/>
      <c r="AM37" s="26"/>
      <c r="AN37" s="26"/>
      <c r="AO37" s="26"/>
      <c r="AP37" s="26"/>
      <c r="AQ37" s="26"/>
      <c r="AR37" s="26"/>
      <c r="AS37" s="26"/>
      <c r="AT37" s="26"/>
      <c r="AU37" s="26"/>
      <c r="AV37" s="26"/>
      <c r="AW37" s="26" t="s">
        <v>300</v>
      </c>
    </row>
    <row r="38" spans="1:49" ht="92.4">
      <c r="A38" s="26" t="s">
        <v>98</v>
      </c>
      <c r="B38" s="26" t="s">
        <v>99</v>
      </c>
      <c r="C38" s="26"/>
      <c r="D38" s="27" t="s">
        <v>291</v>
      </c>
      <c r="E38" s="26"/>
      <c r="F38" s="26" t="s">
        <v>184</v>
      </c>
      <c r="G38" s="26"/>
      <c r="H38" s="26"/>
      <c r="I38" s="26" t="s">
        <v>114</v>
      </c>
      <c r="J38" s="26" t="s">
        <v>301</v>
      </c>
      <c r="K38" s="26"/>
      <c r="L38" s="26"/>
      <c r="M38" s="26"/>
      <c r="N38" s="26"/>
      <c r="O38" s="26">
        <v>12.5</v>
      </c>
      <c r="P38" s="26">
        <v>14</v>
      </c>
      <c r="Q38" s="26">
        <v>3.45</v>
      </c>
      <c r="R38" s="26">
        <v>3.85</v>
      </c>
      <c r="S38" s="26">
        <v>2.8</v>
      </c>
      <c r="T38" s="26">
        <v>0.08</v>
      </c>
      <c r="U38" s="26">
        <v>0.06</v>
      </c>
      <c r="V38" s="26">
        <v>2</v>
      </c>
      <c r="W38" s="26">
        <v>3</v>
      </c>
      <c r="X38" s="26">
        <v>200</v>
      </c>
      <c r="Y38" s="26" t="s">
        <v>129</v>
      </c>
      <c r="Z38" s="26">
        <v>9.52</v>
      </c>
      <c r="AA38" s="26">
        <v>15.88</v>
      </c>
      <c r="AB38" s="26" t="s">
        <v>103</v>
      </c>
      <c r="AC38" s="26" t="s">
        <v>146</v>
      </c>
      <c r="AD38" s="26" t="s">
        <v>153</v>
      </c>
      <c r="AE38" s="26">
        <v>1</v>
      </c>
      <c r="AF38" s="26">
        <v>1</v>
      </c>
      <c r="AG38" s="26"/>
      <c r="AH38" s="26"/>
      <c r="AI38" s="26">
        <v>312</v>
      </c>
      <c r="AJ38" s="26">
        <v>1520</v>
      </c>
      <c r="AK38" s="26">
        <v>650</v>
      </c>
      <c r="AL38" s="26">
        <v>1338</v>
      </c>
      <c r="AM38" s="26">
        <v>1050</v>
      </c>
      <c r="AN38" s="26">
        <v>330</v>
      </c>
      <c r="AO38" s="26">
        <v>56</v>
      </c>
      <c r="AP38" s="26">
        <v>100</v>
      </c>
      <c r="AQ38" s="26">
        <v>10.7</v>
      </c>
      <c r="AR38" s="26">
        <v>12</v>
      </c>
      <c r="AS38" s="26">
        <v>25.4</v>
      </c>
      <c r="AT38" s="26">
        <v>4.7</v>
      </c>
      <c r="AU38" s="26" t="s">
        <v>121</v>
      </c>
      <c r="AV38" s="26">
        <v>4</v>
      </c>
      <c r="AW38" s="26" t="s">
        <v>302</v>
      </c>
    </row>
  </sheetData>
  <phoneticPr fontId="13"/>
  <dataValidations count="1">
    <dataValidation type="list" allowBlank="1" sqref="Z2:Z1000" xr:uid="{00000000-0002-0000-0000-000000000000}">
      <formula1>"確認済,要確認"</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9"/>
  <sheetViews>
    <sheetView showGridLines="0" workbookViewId="0">
      <pane ySplit="15" topLeftCell="A16" activePane="bottomLeft" state="frozen"/>
      <selection pane="bottomLeft"/>
    </sheetView>
  </sheetViews>
  <sheetFormatPr defaultRowHeight="13.2"/>
  <cols>
    <col min="1" max="1" width="22" customWidth="1"/>
    <col min="2" max="4" width="14" customWidth="1"/>
    <col min="5" max="6" width="20" customWidth="1"/>
    <col min="7" max="7" width="32" customWidth="1"/>
    <col min="8" max="8" width="16" customWidth="1"/>
    <col min="9" max="10" width="20" customWidth="1"/>
    <col min="11" max="12" width="16" customWidth="1"/>
    <col min="13" max="13" width="10" customWidth="1"/>
    <col min="14" max="14" width="12" customWidth="1"/>
    <col min="15" max="15" width="14" customWidth="1"/>
    <col min="16" max="17" width="18" customWidth="1"/>
    <col min="18" max="18" width="20" customWidth="1"/>
    <col min="19" max="19" width="16" customWidth="1"/>
    <col min="20" max="23" width="14" customWidth="1"/>
    <col min="24" max="24" width="28" customWidth="1"/>
    <col min="25" max="25" width="40" customWidth="1"/>
    <col min="27" max="29" width="22" customWidth="1"/>
  </cols>
  <sheetData>
    <row r="1" spans="1:29" ht="27.9" customHeight="1">
      <c r="A1" s="15" t="s">
        <v>358</v>
      </c>
      <c r="B1" s="15" t="s">
        <v>1</v>
      </c>
      <c r="C1" s="15" t="s">
        <v>2</v>
      </c>
      <c r="D1" s="15" t="s">
        <v>3</v>
      </c>
      <c r="E1" s="15" t="s">
        <v>4</v>
      </c>
      <c r="F1" s="15" t="s">
        <v>9</v>
      </c>
      <c r="G1" s="15" t="s">
        <v>359</v>
      </c>
      <c r="H1" s="15" t="s">
        <v>10</v>
      </c>
      <c r="I1" s="15" t="s">
        <v>360</v>
      </c>
      <c r="J1" s="15" t="s">
        <v>361</v>
      </c>
      <c r="K1" s="15" t="s">
        <v>362</v>
      </c>
      <c r="L1" s="15" t="s">
        <v>363</v>
      </c>
      <c r="M1" s="15" t="s">
        <v>364</v>
      </c>
      <c r="N1" s="15" t="s">
        <v>22</v>
      </c>
      <c r="O1" s="15" t="s">
        <v>23</v>
      </c>
      <c r="P1" s="15" t="s">
        <v>24</v>
      </c>
      <c r="Q1" s="15" t="s">
        <v>365</v>
      </c>
      <c r="R1" s="15" t="s">
        <v>366</v>
      </c>
      <c r="S1" s="15" t="s">
        <v>367</v>
      </c>
      <c r="T1" s="15" t="s">
        <v>368</v>
      </c>
      <c r="U1" s="15" t="s">
        <v>369</v>
      </c>
      <c r="V1" s="15" t="s">
        <v>370</v>
      </c>
      <c r="W1" s="15" t="s">
        <v>371</v>
      </c>
      <c r="X1" s="15" t="s">
        <v>372</v>
      </c>
      <c r="Y1" s="15" t="s">
        <v>373</v>
      </c>
      <c r="Z1" s="15" t="s">
        <v>48</v>
      </c>
      <c r="AA1" s="15" t="s">
        <v>374</v>
      </c>
      <c r="AB1" s="15" t="s">
        <v>375</v>
      </c>
      <c r="AC1" s="15" t="s">
        <v>376</v>
      </c>
    </row>
    <row r="2" spans="1:29" ht="32.1" customHeight="1">
      <c r="A2" s="16" t="s">
        <v>49</v>
      </c>
      <c r="B2" s="16" t="s">
        <v>50</v>
      </c>
      <c r="C2" s="16" t="s">
        <v>51</v>
      </c>
      <c r="D2" s="16" t="s">
        <v>52</v>
      </c>
      <c r="E2" s="16" t="s">
        <v>53</v>
      </c>
      <c r="F2" s="16" t="s">
        <v>377</v>
      </c>
      <c r="G2" s="16" t="s">
        <v>378</v>
      </c>
      <c r="H2" s="16" t="s">
        <v>379</v>
      </c>
      <c r="I2" s="16" t="s">
        <v>380</v>
      </c>
      <c r="J2" s="16" t="s">
        <v>381</v>
      </c>
      <c r="K2" s="16" t="s">
        <v>382</v>
      </c>
      <c r="L2" s="16" t="s">
        <v>383</v>
      </c>
      <c r="M2" s="16" t="s">
        <v>384</v>
      </c>
      <c r="N2" s="16" t="s">
        <v>71</v>
      </c>
      <c r="O2" s="16" t="s">
        <v>72</v>
      </c>
      <c r="P2" s="16" t="s">
        <v>73</v>
      </c>
      <c r="Q2" s="16" t="s">
        <v>385</v>
      </c>
      <c r="R2" s="16" t="s">
        <v>386</v>
      </c>
      <c r="S2" s="16" t="s">
        <v>387</v>
      </c>
      <c r="T2" s="16" t="s">
        <v>388</v>
      </c>
      <c r="U2" s="16" t="s">
        <v>389</v>
      </c>
      <c r="V2" s="16" t="s">
        <v>390</v>
      </c>
      <c r="W2" s="16" t="s">
        <v>391</v>
      </c>
      <c r="X2" s="16" t="s">
        <v>392</v>
      </c>
      <c r="Y2" s="16" t="s">
        <v>393</v>
      </c>
      <c r="Z2" s="16" t="s">
        <v>97</v>
      </c>
      <c r="AA2" s="16" t="s">
        <v>394</v>
      </c>
      <c r="AB2" s="16" t="s">
        <v>395</v>
      </c>
      <c r="AC2" s="16" t="s">
        <v>396</v>
      </c>
    </row>
    <row r="3" spans="1:29" s="1" customFormat="1" ht="63" customHeight="1">
      <c r="A3" s="21" t="s">
        <v>397</v>
      </c>
      <c r="B3" s="21" t="s">
        <v>99</v>
      </c>
      <c r="C3" s="21" t="s">
        <v>175</v>
      </c>
      <c r="D3" s="22"/>
      <c r="E3" s="21"/>
      <c r="F3" s="21" t="s">
        <v>398</v>
      </c>
      <c r="G3" s="21" t="s">
        <v>397</v>
      </c>
      <c r="H3" s="21" t="s">
        <v>399</v>
      </c>
      <c r="I3" s="21" t="s">
        <v>400</v>
      </c>
      <c r="J3" s="21" t="s">
        <v>401</v>
      </c>
      <c r="K3" s="23">
        <v>100</v>
      </c>
      <c r="L3" s="23">
        <v>100</v>
      </c>
      <c r="M3" s="23">
        <v>90</v>
      </c>
      <c r="N3" s="21">
        <v>1</v>
      </c>
      <c r="O3" s="23">
        <v>100</v>
      </c>
      <c r="P3" s="21" t="s">
        <v>129</v>
      </c>
      <c r="Q3" s="24">
        <v>9.7000000000000003E-3</v>
      </c>
      <c r="R3" s="24">
        <v>0.19</v>
      </c>
      <c r="S3" s="21"/>
      <c r="T3" s="24">
        <v>23.5</v>
      </c>
      <c r="U3" s="23">
        <v>184</v>
      </c>
      <c r="V3" s="23">
        <v>250</v>
      </c>
      <c r="W3" s="23">
        <v>283</v>
      </c>
      <c r="X3" s="24">
        <v>1.4</v>
      </c>
      <c r="Y3" s="21"/>
      <c r="Z3" s="21" t="s">
        <v>402</v>
      </c>
      <c r="AA3" s="25"/>
      <c r="AB3" s="25"/>
      <c r="AC3" s="25"/>
    </row>
    <row r="4" spans="1:29" s="1" customFormat="1" ht="63" customHeight="1">
      <c r="A4" s="21" t="s">
        <v>397</v>
      </c>
      <c r="B4" s="21" t="s">
        <v>99</v>
      </c>
      <c r="C4" s="21" t="s">
        <v>175</v>
      </c>
      <c r="D4" s="22"/>
      <c r="E4" s="21"/>
      <c r="F4" s="21" t="s">
        <v>403</v>
      </c>
      <c r="G4" s="21" t="s">
        <v>397</v>
      </c>
      <c r="H4" s="21" t="s">
        <v>404</v>
      </c>
      <c r="I4" s="21" t="s">
        <v>400</v>
      </c>
      <c r="J4" s="21" t="s">
        <v>405</v>
      </c>
      <c r="K4" s="23">
        <v>100</v>
      </c>
      <c r="L4" s="23">
        <v>120</v>
      </c>
      <c r="M4" s="23">
        <v>50</v>
      </c>
      <c r="N4" s="21">
        <v>1</v>
      </c>
      <c r="O4" s="23">
        <v>100</v>
      </c>
      <c r="P4" s="21" t="s">
        <v>129</v>
      </c>
      <c r="Q4" s="24">
        <v>1.4E-2</v>
      </c>
      <c r="R4" s="24">
        <v>0.15</v>
      </c>
      <c r="S4" s="21"/>
      <c r="T4" s="24">
        <v>28.5</v>
      </c>
      <c r="U4" s="23">
        <v>200</v>
      </c>
      <c r="V4" s="23">
        <v>335</v>
      </c>
      <c r="W4" s="23">
        <v>363</v>
      </c>
      <c r="X4" s="24">
        <v>2.8</v>
      </c>
      <c r="Y4" s="21"/>
      <c r="Z4" s="21" t="s">
        <v>406</v>
      </c>
      <c r="AA4" s="25"/>
      <c r="AB4" s="25"/>
      <c r="AC4" s="25"/>
    </row>
    <row r="5" spans="1:29" s="1" customFormat="1" ht="63" customHeight="1">
      <c r="A5" s="21" t="s">
        <v>397</v>
      </c>
      <c r="B5" s="21" t="s">
        <v>99</v>
      </c>
      <c r="C5" s="21" t="s">
        <v>175</v>
      </c>
      <c r="D5" s="22"/>
      <c r="E5" s="21"/>
      <c r="F5" s="21" t="s">
        <v>407</v>
      </c>
      <c r="G5" s="21" t="s">
        <v>397</v>
      </c>
      <c r="H5" s="21" t="s">
        <v>404</v>
      </c>
      <c r="I5" s="21" t="s">
        <v>400</v>
      </c>
      <c r="J5" s="21" t="s">
        <v>405</v>
      </c>
      <c r="K5" s="23">
        <v>150</v>
      </c>
      <c r="L5" s="23">
        <v>290</v>
      </c>
      <c r="M5" s="23">
        <v>80</v>
      </c>
      <c r="N5" s="21">
        <v>1</v>
      </c>
      <c r="O5" s="23">
        <v>100</v>
      </c>
      <c r="P5" s="21" t="s">
        <v>129</v>
      </c>
      <c r="Q5" s="24">
        <v>4.3999999999999997E-2</v>
      </c>
      <c r="R5" s="24">
        <v>0.5</v>
      </c>
      <c r="S5" s="21"/>
      <c r="T5" s="24">
        <v>36.5</v>
      </c>
      <c r="U5" s="23">
        <v>240</v>
      </c>
      <c r="V5" s="23">
        <v>390</v>
      </c>
      <c r="W5" s="23">
        <v>425</v>
      </c>
      <c r="X5" s="24">
        <v>3.6</v>
      </c>
      <c r="Y5" s="21"/>
      <c r="Z5" s="21" t="s">
        <v>408</v>
      </c>
      <c r="AA5" s="25"/>
      <c r="AB5" s="25"/>
      <c r="AC5" s="25"/>
    </row>
    <row r="6" spans="1:29" s="1" customFormat="1" ht="63" customHeight="1">
      <c r="A6" s="21" t="s">
        <v>397</v>
      </c>
      <c r="B6" s="21" t="s">
        <v>99</v>
      </c>
      <c r="C6" s="21" t="s">
        <v>175</v>
      </c>
      <c r="D6" s="22"/>
      <c r="E6" s="21"/>
      <c r="F6" s="21" t="s">
        <v>409</v>
      </c>
      <c r="G6" s="21" t="s">
        <v>397</v>
      </c>
      <c r="H6" s="21" t="s">
        <v>410</v>
      </c>
      <c r="I6" s="21" t="s">
        <v>400</v>
      </c>
      <c r="J6" s="21" t="s">
        <v>405</v>
      </c>
      <c r="K6" s="23">
        <v>150</v>
      </c>
      <c r="L6" s="23">
        <v>400</v>
      </c>
      <c r="M6" s="23">
        <v>150</v>
      </c>
      <c r="N6" s="21">
        <v>1</v>
      </c>
      <c r="O6" s="23">
        <v>100</v>
      </c>
      <c r="P6" s="21" t="s">
        <v>129</v>
      </c>
      <c r="Q6" s="24">
        <v>7.3999999999999996E-2</v>
      </c>
      <c r="R6" s="24">
        <v>0.74</v>
      </c>
      <c r="S6" s="21"/>
      <c r="T6" s="24">
        <v>42</v>
      </c>
      <c r="U6" s="23">
        <v>232</v>
      </c>
      <c r="V6" s="23">
        <v>475</v>
      </c>
      <c r="W6" s="23">
        <v>528</v>
      </c>
      <c r="X6" s="24">
        <v>7.6</v>
      </c>
      <c r="Y6" s="21"/>
      <c r="Z6" s="21" t="s">
        <v>411</v>
      </c>
      <c r="AA6" s="25"/>
      <c r="AB6" s="25"/>
      <c r="AC6" s="25"/>
    </row>
    <row r="7" spans="1:29" s="1" customFormat="1" ht="63" customHeight="1">
      <c r="A7" s="21" t="s">
        <v>397</v>
      </c>
      <c r="B7" s="21" t="s">
        <v>99</v>
      </c>
      <c r="C7" s="21" t="s">
        <v>175</v>
      </c>
      <c r="D7" s="22"/>
      <c r="E7" s="21"/>
      <c r="F7" s="21" t="s">
        <v>412</v>
      </c>
      <c r="G7" s="21" t="s">
        <v>397</v>
      </c>
      <c r="H7" s="21" t="s">
        <v>413</v>
      </c>
      <c r="I7" s="21" t="s">
        <v>400</v>
      </c>
      <c r="J7" s="21" t="s">
        <v>414</v>
      </c>
      <c r="K7" s="23">
        <v>150</v>
      </c>
      <c r="L7" s="23">
        <v>250</v>
      </c>
      <c r="M7" s="23">
        <v>100</v>
      </c>
      <c r="N7" s="21">
        <v>1</v>
      </c>
      <c r="O7" s="23">
        <v>100</v>
      </c>
      <c r="P7" s="21" t="s">
        <v>129</v>
      </c>
      <c r="Q7" s="24">
        <v>3.3000000000000002E-2</v>
      </c>
      <c r="R7" s="24">
        <v>0.35</v>
      </c>
      <c r="S7" s="21"/>
      <c r="T7" s="24">
        <v>34.5</v>
      </c>
      <c r="U7" s="23">
        <v>243</v>
      </c>
      <c r="V7" s="23">
        <v>380</v>
      </c>
      <c r="W7" s="23">
        <v>449</v>
      </c>
      <c r="X7" s="24">
        <v>5.9</v>
      </c>
      <c r="Y7" s="21"/>
      <c r="Z7" s="21" t="s">
        <v>415</v>
      </c>
      <c r="AA7" s="25"/>
      <c r="AB7" s="25"/>
      <c r="AC7" s="25"/>
    </row>
    <row r="8" spans="1:29" s="1" customFormat="1" ht="63" customHeight="1">
      <c r="A8" s="21" t="s">
        <v>416</v>
      </c>
      <c r="B8" s="21" t="s">
        <v>99</v>
      </c>
      <c r="C8" s="21" t="s">
        <v>175</v>
      </c>
      <c r="D8" s="22" t="s">
        <v>205</v>
      </c>
      <c r="E8" s="21" t="s">
        <v>417</v>
      </c>
      <c r="F8" s="21" t="s">
        <v>418</v>
      </c>
      <c r="G8" s="21" t="s">
        <v>419</v>
      </c>
      <c r="H8" s="21" t="s">
        <v>420</v>
      </c>
      <c r="I8" s="21" t="s">
        <v>400</v>
      </c>
      <c r="J8" s="21" t="s">
        <v>421</v>
      </c>
      <c r="K8" s="23">
        <v>100</v>
      </c>
      <c r="L8" s="23">
        <v>200</v>
      </c>
      <c r="M8" s="23"/>
      <c r="N8" s="21">
        <v>1</v>
      </c>
      <c r="O8" s="23">
        <v>100</v>
      </c>
      <c r="P8" s="21">
        <v>60</v>
      </c>
      <c r="Q8" s="24">
        <v>5.9499999999999997E-2</v>
      </c>
      <c r="R8" s="24">
        <v>0.59499999999999997</v>
      </c>
      <c r="S8" s="21"/>
      <c r="T8" s="24">
        <v>43</v>
      </c>
      <c r="U8" s="23">
        <v>204</v>
      </c>
      <c r="V8" s="23">
        <v>436</v>
      </c>
      <c r="W8" s="23">
        <v>386</v>
      </c>
      <c r="X8" s="24">
        <v>6.5</v>
      </c>
      <c r="Y8" s="21"/>
      <c r="Z8" s="21" t="s">
        <v>422</v>
      </c>
      <c r="AA8" s="25">
        <v>76</v>
      </c>
      <c r="AB8" s="25">
        <v>63</v>
      </c>
      <c r="AC8" s="25">
        <v>58</v>
      </c>
    </row>
    <row r="9" spans="1:29" s="1" customFormat="1" ht="63" customHeight="1">
      <c r="A9" s="21" t="s">
        <v>416</v>
      </c>
      <c r="B9" s="21" t="s">
        <v>99</v>
      </c>
      <c r="C9" s="21" t="s">
        <v>175</v>
      </c>
      <c r="D9" s="22" t="s">
        <v>205</v>
      </c>
      <c r="E9" s="21" t="s">
        <v>417</v>
      </c>
      <c r="F9" s="21" t="s">
        <v>423</v>
      </c>
      <c r="G9" s="21" t="s">
        <v>424</v>
      </c>
      <c r="H9" s="21" t="s">
        <v>425</v>
      </c>
      <c r="I9" s="21" t="s">
        <v>426</v>
      </c>
      <c r="J9" s="21" t="s">
        <v>427</v>
      </c>
      <c r="K9" s="23">
        <v>150</v>
      </c>
      <c r="L9" s="23">
        <v>250</v>
      </c>
      <c r="M9" s="23">
        <v>80</v>
      </c>
      <c r="N9" s="21">
        <v>1</v>
      </c>
      <c r="O9" s="23">
        <v>100</v>
      </c>
      <c r="P9" s="21">
        <v>60</v>
      </c>
      <c r="Q9" s="24">
        <v>0.128</v>
      </c>
      <c r="R9" s="24">
        <v>1.28</v>
      </c>
      <c r="S9" s="21"/>
      <c r="T9" s="24">
        <v>32</v>
      </c>
      <c r="U9" s="23">
        <v>268</v>
      </c>
      <c r="V9" s="23">
        <v>908</v>
      </c>
      <c r="W9" s="23">
        <v>814</v>
      </c>
      <c r="X9" s="24">
        <v>18</v>
      </c>
      <c r="Y9" s="21"/>
      <c r="Z9" s="21" t="s">
        <v>428</v>
      </c>
      <c r="AA9" s="25">
        <v>70.5</v>
      </c>
      <c r="AB9" s="25">
        <v>69</v>
      </c>
      <c r="AC9" s="25">
        <v>61.5</v>
      </c>
    </row>
    <row r="10" spans="1:29" ht="63" customHeight="1">
      <c r="A10" s="21" t="s">
        <v>397</v>
      </c>
      <c r="B10" s="21" t="s">
        <v>99</v>
      </c>
      <c r="C10" s="21" t="s">
        <v>175</v>
      </c>
      <c r="D10" s="22" t="s">
        <v>429</v>
      </c>
      <c r="E10" s="21"/>
      <c r="F10" s="21" t="s">
        <v>430</v>
      </c>
      <c r="G10" s="21" t="s">
        <v>397</v>
      </c>
      <c r="H10" s="21" t="s">
        <v>431</v>
      </c>
      <c r="I10" s="21" t="s">
        <v>400</v>
      </c>
      <c r="J10" s="21" t="s">
        <v>414</v>
      </c>
      <c r="K10" s="23">
        <v>150</v>
      </c>
      <c r="L10" s="23">
        <v>420</v>
      </c>
      <c r="M10" s="23"/>
      <c r="N10" s="21">
        <v>1</v>
      </c>
      <c r="O10" s="23">
        <v>100</v>
      </c>
      <c r="P10" s="21" t="s">
        <v>129</v>
      </c>
      <c r="Q10" s="24">
        <v>4.3999999999999997E-2</v>
      </c>
      <c r="R10" s="24">
        <v>0.5</v>
      </c>
      <c r="S10" s="21"/>
      <c r="T10" s="24">
        <v>36.5</v>
      </c>
      <c r="U10" s="23">
        <v>240</v>
      </c>
      <c r="V10" s="23">
        <v>390</v>
      </c>
      <c r="W10" s="23">
        <v>425</v>
      </c>
      <c r="X10" s="24">
        <v>3.6</v>
      </c>
      <c r="Y10" s="21"/>
      <c r="Z10" s="21" t="s">
        <v>432</v>
      </c>
      <c r="AA10" s="25"/>
      <c r="AB10" s="25"/>
      <c r="AC10" s="25"/>
    </row>
    <row r="11" spans="1:29" ht="409.6" customHeight="1">
      <c r="A11" s="21" t="s">
        <v>397</v>
      </c>
      <c r="B11" s="21" t="s">
        <v>99</v>
      </c>
      <c r="C11" s="21" t="s">
        <v>175</v>
      </c>
      <c r="D11" s="22" t="s">
        <v>429</v>
      </c>
      <c r="E11" s="21"/>
      <c r="F11" s="21" t="s">
        <v>433</v>
      </c>
      <c r="G11" s="21" t="s">
        <v>397</v>
      </c>
      <c r="H11" s="21" t="s">
        <v>413</v>
      </c>
      <c r="I11" s="21" t="s">
        <v>400</v>
      </c>
      <c r="J11" s="21" t="s">
        <v>434</v>
      </c>
      <c r="K11" s="23">
        <v>150</v>
      </c>
      <c r="L11" s="23">
        <v>520</v>
      </c>
      <c r="M11" s="23"/>
      <c r="N11" s="21">
        <v>1</v>
      </c>
      <c r="O11" s="23">
        <v>100</v>
      </c>
      <c r="P11" s="21" t="s">
        <v>129</v>
      </c>
      <c r="Q11" s="24">
        <v>5.8000000000000003E-2</v>
      </c>
      <c r="R11" s="24">
        <v>0.67</v>
      </c>
      <c r="S11" s="21"/>
      <c r="T11" s="24">
        <v>44.5</v>
      </c>
      <c r="U11" s="23">
        <v>243</v>
      </c>
      <c r="V11" s="23">
        <v>380</v>
      </c>
      <c r="W11" s="23">
        <v>449</v>
      </c>
      <c r="X11" s="24">
        <v>6.3</v>
      </c>
      <c r="Y11" s="21"/>
      <c r="Z11" s="21" t="s">
        <v>435</v>
      </c>
      <c r="AA11" s="25"/>
      <c r="AB11" s="25"/>
      <c r="AC11" s="25"/>
    </row>
    <row r="12" spans="1:29" ht="409.6" customHeight="1">
      <c r="A12" s="21" t="s">
        <v>436</v>
      </c>
      <c r="B12" s="21" t="s">
        <v>99</v>
      </c>
      <c r="C12" s="21" t="s">
        <v>175</v>
      </c>
      <c r="D12" s="22" t="s">
        <v>230</v>
      </c>
      <c r="E12" s="21"/>
      <c r="F12" s="21" t="s">
        <v>437</v>
      </c>
      <c r="G12" s="21" t="s">
        <v>436</v>
      </c>
      <c r="H12" s="21" t="s">
        <v>438</v>
      </c>
      <c r="I12" s="21" t="s">
        <v>439</v>
      </c>
      <c r="J12" s="21" t="s">
        <v>414</v>
      </c>
      <c r="K12" s="23"/>
      <c r="L12" s="23">
        <v>3600</v>
      </c>
      <c r="M12" s="23"/>
      <c r="N12" s="21">
        <v>1</v>
      </c>
      <c r="O12" s="23">
        <v>100</v>
      </c>
      <c r="P12" s="21">
        <v>60</v>
      </c>
      <c r="Q12" s="24">
        <v>0.17499999999999999</v>
      </c>
      <c r="R12" s="24">
        <v>1.78</v>
      </c>
      <c r="S12" s="21">
        <v>0.15</v>
      </c>
      <c r="T12" s="24">
        <v>45.5</v>
      </c>
      <c r="U12" s="23">
        <v>470</v>
      </c>
      <c r="V12" s="23">
        <v>470</v>
      </c>
      <c r="W12" s="23">
        <v>259</v>
      </c>
      <c r="X12" s="24">
        <v>9.4</v>
      </c>
      <c r="Y12" s="21"/>
      <c r="Z12" s="21" t="s">
        <v>440</v>
      </c>
      <c r="AA12" s="25"/>
      <c r="AB12" s="25"/>
      <c r="AC12" s="25"/>
    </row>
    <row r="13" spans="1:29" ht="409.6" customHeight="1">
      <c r="A13" s="21" t="s">
        <v>436</v>
      </c>
      <c r="B13" s="21" t="s">
        <v>99</v>
      </c>
      <c r="C13" s="21" t="s">
        <v>175</v>
      </c>
      <c r="D13" s="22" t="s">
        <v>230</v>
      </c>
      <c r="E13" s="21"/>
      <c r="F13" s="21" t="s">
        <v>441</v>
      </c>
      <c r="G13" s="21" t="s">
        <v>436</v>
      </c>
      <c r="H13" s="21" t="s">
        <v>442</v>
      </c>
      <c r="I13" s="21" t="s">
        <v>439</v>
      </c>
      <c r="J13" s="21" t="s">
        <v>414</v>
      </c>
      <c r="K13" s="23"/>
      <c r="L13" s="23">
        <v>3600</v>
      </c>
      <c r="M13" s="23"/>
      <c r="N13" s="21">
        <v>1</v>
      </c>
      <c r="O13" s="23">
        <v>100</v>
      </c>
      <c r="P13" s="21">
        <v>60</v>
      </c>
      <c r="Q13" s="24">
        <v>0.18099999999999999</v>
      </c>
      <c r="R13" s="24">
        <v>1.82</v>
      </c>
      <c r="S13" s="21">
        <v>0.15</v>
      </c>
      <c r="T13" s="24">
        <v>53</v>
      </c>
      <c r="U13" s="23">
        <v>470</v>
      </c>
      <c r="V13" s="23">
        <v>470</v>
      </c>
      <c r="W13" s="23">
        <v>259</v>
      </c>
      <c r="X13" s="24">
        <v>9.5</v>
      </c>
      <c r="Y13" s="21"/>
      <c r="Z13" s="21" t="s">
        <v>443</v>
      </c>
      <c r="AA13" s="25"/>
      <c r="AB13" s="25"/>
      <c r="AC13" s="25"/>
    </row>
    <row r="14" spans="1:29" ht="409.6" customHeight="1">
      <c r="A14" s="21" t="s">
        <v>436</v>
      </c>
      <c r="B14" s="21" t="s">
        <v>99</v>
      </c>
      <c r="C14" s="21" t="s">
        <v>175</v>
      </c>
      <c r="D14" s="22" t="s">
        <v>230</v>
      </c>
      <c r="E14" s="21"/>
      <c r="F14" s="21" t="s">
        <v>444</v>
      </c>
      <c r="G14" s="21" t="s">
        <v>436</v>
      </c>
      <c r="H14" s="21" t="s">
        <v>438</v>
      </c>
      <c r="I14" s="21" t="s">
        <v>439</v>
      </c>
      <c r="J14" s="21"/>
      <c r="K14" s="23"/>
      <c r="L14" s="23">
        <v>3600</v>
      </c>
      <c r="M14" s="23"/>
      <c r="N14" s="21">
        <v>3</v>
      </c>
      <c r="O14" s="23">
        <v>200</v>
      </c>
      <c r="P14" s="21">
        <v>60</v>
      </c>
      <c r="Q14" s="24">
        <v>0.16800000000000001</v>
      </c>
      <c r="R14" s="24">
        <v>0.75</v>
      </c>
      <c r="S14" s="21">
        <v>0.15</v>
      </c>
      <c r="T14" s="24">
        <v>45.5</v>
      </c>
      <c r="U14" s="23">
        <v>470</v>
      </c>
      <c r="V14" s="23">
        <v>470</v>
      </c>
      <c r="W14" s="23">
        <v>259</v>
      </c>
      <c r="X14" s="24">
        <v>9.4</v>
      </c>
      <c r="Y14" s="21"/>
      <c r="Z14" s="21" t="s">
        <v>445</v>
      </c>
      <c r="AA14" s="25"/>
      <c r="AB14" s="25"/>
      <c r="AC14" s="25"/>
    </row>
    <row r="15" spans="1:29" ht="409.6" customHeight="1">
      <c r="A15" s="21" t="s">
        <v>436</v>
      </c>
      <c r="B15" s="21" t="s">
        <v>99</v>
      </c>
      <c r="C15" s="21" t="s">
        <v>175</v>
      </c>
      <c r="D15" s="22" t="s">
        <v>230</v>
      </c>
      <c r="E15" s="21"/>
      <c r="F15" s="21" t="s">
        <v>446</v>
      </c>
      <c r="G15" s="21" t="s">
        <v>436</v>
      </c>
      <c r="H15" s="21" t="s">
        <v>442</v>
      </c>
      <c r="I15" s="21" t="s">
        <v>439</v>
      </c>
      <c r="J15" s="21"/>
      <c r="K15" s="23"/>
      <c r="L15" s="23">
        <v>3600</v>
      </c>
      <c r="M15" s="23"/>
      <c r="N15" s="21">
        <v>3</v>
      </c>
      <c r="O15" s="23">
        <v>200</v>
      </c>
      <c r="P15" s="21">
        <v>60</v>
      </c>
      <c r="Q15" s="24">
        <v>0.17399999999999999</v>
      </c>
      <c r="R15" s="24">
        <v>0.72</v>
      </c>
      <c r="S15" s="21">
        <v>0.15</v>
      </c>
      <c r="T15" s="24">
        <v>52.5</v>
      </c>
      <c r="U15" s="23">
        <v>470</v>
      </c>
      <c r="V15" s="23">
        <v>470</v>
      </c>
      <c r="W15" s="23">
        <v>259</v>
      </c>
      <c r="X15" s="24">
        <v>9.5</v>
      </c>
      <c r="Y15" s="21"/>
      <c r="Z15" s="21" t="s">
        <v>447</v>
      </c>
      <c r="AA15" s="25"/>
      <c r="AB15" s="25"/>
      <c r="AC15" s="25"/>
    </row>
    <row r="16" spans="1:29" ht="409.6" customHeight="1">
      <c r="A16" s="9" t="s">
        <v>397</v>
      </c>
      <c r="B16" s="9" t="s">
        <v>99</v>
      </c>
      <c r="C16" s="9" t="s">
        <v>175</v>
      </c>
      <c r="D16" s="10" t="s">
        <v>260</v>
      </c>
      <c r="E16" s="9"/>
      <c r="F16" s="9" t="s">
        <v>448</v>
      </c>
      <c r="G16" s="9" t="s">
        <v>397</v>
      </c>
      <c r="H16" s="9" t="s">
        <v>399</v>
      </c>
      <c r="I16" s="9" t="s">
        <v>400</v>
      </c>
      <c r="J16" s="9" t="s">
        <v>449</v>
      </c>
      <c r="K16" s="11">
        <v>150</v>
      </c>
      <c r="L16" s="11">
        <v>430</v>
      </c>
      <c r="M16" s="11"/>
      <c r="N16" s="9">
        <v>1</v>
      </c>
      <c r="O16" s="11">
        <v>100</v>
      </c>
      <c r="P16" s="9" t="s">
        <v>129</v>
      </c>
      <c r="Q16" s="12">
        <v>1.7999999999999999E-2</v>
      </c>
      <c r="R16" s="12">
        <v>0.37</v>
      </c>
      <c r="S16" s="9"/>
      <c r="T16" s="12">
        <v>38</v>
      </c>
      <c r="U16" s="11">
        <v>240</v>
      </c>
      <c r="V16" s="11">
        <v>390</v>
      </c>
      <c r="W16" s="11">
        <v>362</v>
      </c>
      <c r="X16" s="12">
        <v>3.2</v>
      </c>
      <c r="Y16" s="9"/>
      <c r="Z16" s="9" t="s">
        <v>450</v>
      </c>
      <c r="AA16" s="13"/>
      <c r="AB16" s="13"/>
      <c r="AC16" s="13"/>
    </row>
    <row r="17" spans="1:29" ht="409.6" customHeight="1">
      <c r="A17" s="9" t="s">
        <v>397</v>
      </c>
      <c r="B17" s="9" t="s">
        <v>99</v>
      </c>
      <c r="C17" s="9" t="s">
        <v>175</v>
      </c>
      <c r="D17" s="10" t="s">
        <v>260</v>
      </c>
      <c r="E17" s="9"/>
      <c r="F17" s="9" t="s">
        <v>451</v>
      </c>
      <c r="G17" s="9" t="s">
        <v>397</v>
      </c>
      <c r="H17" s="9" t="s">
        <v>399</v>
      </c>
      <c r="I17" s="9" t="s">
        <v>400</v>
      </c>
      <c r="J17" s="9" t="s">
        <v>449</v>
      </c>
      <c r="K17" s="11">
        <v>150</v>
      </c>
      <c r="L17" s="11">
        <v>800</v>
      </c>
      <c r="M17" s="11"/>
      <c r="N17" s="9">
        <v>1</v>
      </c>
      <c r="O17" s="11">
        <v>100</v>
      </c>
      <c r="P17" s="9" t="s">
        <v>129</v>
      </c>
      <c r="Q17" s="12">
        <v>9.5000000000000001E-2</v>
      </c>
      <c r="R17" s="12">
        <v>1.6</v>
      </c>
      <c r="S17" s="9"/>
      <c r="T17" s="12">
        <v>52</v>
      </c>
      <c r="U17" s="11">
        <v>221</v>
      </c>
      <c r="V17" s="11">
        <v>475</v>
      </c>
      <c r="W17" s="11">
        <v>428</v>
      </c>
      <c r="X17" s="12">
        <v>7</v>
      </c>
      <c r="Y17" s="9"/>
      <c r="Z17" s="9" t="s">
        <v>452</v>
      </c>
      <c r="AA17" s="13"/>
      <c r="AB17" s="13"/>
      <c r="AC17" s="13"/>
    </row>
    <row r="18" spans="1:29" ht="409.6" customHeight="1">
      <c r="A18" s="9" t="s">
        <v>436</v>
      </c>
      <c r="B18" s="9" t="s">
        <v>99</v>
      </c>
      <c r="C18" s="9" t="s">
        <v>175</v>
      </c>
      <c r="D18" s="10" t="s">
        <v>260</v>
      </c>
      <c r="E18" s="9"/>
      <c r="F18" s="9" t="s">
        <v>453</v>
      </c>
      <c r="G18" s="9" t="s">
        <v>436</v>
      </c>
      <c r="H18" s="9" t="s">
        <v>438</v>
      </c>
      <c r="I18" s="9" t="s">
        <v>439</v>
      </c>
      <c r="J18" s="9" t="s">
        <v>414</v>
      </c>
      <c r="K18" s="11"/>
      <c r="L18" s="11">
        <v>780</v>
      </c>
      <c r="M18" s="11"/>
      <c r="N18" s="9">
        <v>1</v>
      </c>
      <c r="O18" s="11">
        <v>100</v>
      </c>
      <c r="P18" s="9">
        <v>60</v>
      </c>
      <c r="Q18" s="12">
        <v>2.8000000000000001E-2</v>
      </c>
      <c r="R18" s="12">
        <v>0.3</v>
      </c>
      <c r="S18" s="9">
        <v>1.4999999999999999E-2</v>
      </c>
      <c r="T18" s="12">
        <v>31</v>
      </c>
      <c r="U18" s="11">
        <v>320</v>
      </c>
      <c r="V18" s="11">
        <v>320</v>
      </c>
      <c r="W18" s="11">
        <v>197</v>
      </c>
      <c r="X18" s="12">
        <v>3.2</v>
      </c>
      <c r="Y18" s="9"/>
      <c r="Z18" s="9" t="s">
        <v>454</v>
      </c>
      <c r="AA18" s="13"/>
      <c r="AB18" s="13"/>
      <c r="AC18" s="13"/>
    </row>
    <row r="19" spans="1:29" ht="409.6" customHeight="1">
      <c r="A19" s="9" t="s">
        <v>436</v>
      </c>
      <c r="B19" s="9" t="s">
        <v>99</v>
      </c>
      <c r="C19" s="9" t="s">
        <v>175</v>
      </c>
      <c r="D19" s="10" t="s">
        <v>260</v>
      </c>
      <c r="E19" s="9"/>
      <c r="F19" s="9" t="s">
        <v>455</v>
      </c>
      <c r="G19" s="9" t="s">
        <v>436</v>
      </c>
      <c r="H19" s="9" t="s">
        <v>442</v>
      </c>
      <c r="I19" s="9" t="s">
        <v>439</v>
      </c>
      <c r="J19" s="9" t="s">
        <v>414</v>
      </c>
      <c r="K19" s="11"/>
      <c r="L19" s="11">
        <v>780</v>
      </c>
      <c r="M19" s="11"/>
      <c r="N19" s="9">
        <v>1</v>
      </c>
      <c r="O19" s="11">
        <v>100</v>
      </c>
      <c r="P19" s="9">
        <v>60</v>
      </c>
      <c r="Q19" s="12">
        <v>3.3000000000000002E-2</v>
      </c>
      <c r="R19" s="12">
        <v>0.34</v>
      </c>
      <c r="S19" s="9">
        <v>1.4999999999999999E-2</v>
      </c>
      <c r="T19" s="12">
        <v>37</v>
      </c>
      <c r="U19" s="11">
        <v>320</v>
      </c>
      <c r="V19" s="11">
        <v>320</v>
      </c>
      <c r="W19" s="11">
        <v>197</v>
      </c>
      <c r="X19" s="12">
        <v>3.3</v>
      </c>
      <c r="Y19" s="9"/>
      <c r="Z19" s="9" t="s">
        <v>456</v>
      </c>
      <c r="AA19" s="13"/>
      <c r="AB19" s="13"/>
      <c r="AC19" s="13"/>
    </row>
  </sheetData>
  <phoneticPr fontId="1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9"/>
  <sheetViews>
    <sheetView showGridLines="0" workbookViewId="0">
      <pane xSplit="1" ySplit="2" topLeftCell="B3" activePane="bottomRight" state="frozen"/>
      <selection pane="topRight"/>
      <selection pane="bottomLeft"/>
      <selection pane="bottomRight" activeCell="B3" sqref="B3"/>
    </sheetView>
  </sheetViews>
  <sheetFormatPr defaultRowHeight="13.2"/>
  <cols>
    <col min="1" max="9" width="15" customWidth="1"/>
    <col min="10" max="10" width="24" customWidth="1"/>
    <col min="11" max="11" width="50" customWidth="1"/>
    <col min="12" max="12" width="15" customWidth="1"/>
    <col min="13" max="13" width="105" customWidth="1"/>
    <col min="14" max="14" width="15" customWidth="1"/>
  </cols>
  <sheetData>
    <row r="1" spans="1:14" ht="27.9" customHeight="1">
      <c r="A1" s="3" t="s">
        <v>457</v>
      </c>
      <c r="B1" s="3" t="s">
        <v>458</v>
      </c>
      <c r="C1" s="3" t="s">
        <v>459</v>
      </c>
      <c r="D1" s="3" t="s">
        <v>460</v>
      </c>
      <c r="E1" s="3" t="s">
        <v>461</v>
      </c>
      <c r="F1" s="3" t="s">
        <v>462</v>
      </c>
      <c r="G1" s="3" t="s">
        <v>463</v>
      </c>
      <c r="H1" s="3" t="s">
        <v>464</v>
      </c>
      <c r="I1" s="3" t="s">
        <v>465</v>
      </c>
      <c r="J1" s="3" t="s">
        <v>9</v>
      </c>
      <c r="K1" s="3" t="s">
        <v>466</v>
      </c>
      <c r="L1" s="3" t="s">
        <v>467</v>
      </c>
      <c r="M1" s="3" t="s">
        <v>468</v>
      </c>
      <c r="N1" s="3" t="s">
        <v>469</v>
      </c>
    </row>
    <row r="2" spans="1:14" ht="27.9" customHeight="1">
      <c r="A2" s="4" t="s">
        <v>470</v>
      </c>
      <c r="B2" s="4" t="s">
        <v>471</v>
      </c>
      <c r="C2" s="4" t="s">
        <v>472</v>
      </c>
      <c r="D2" s="4" t="s">
        <v>473</v>
      </c>
      <c r="E2" s="4" t="s">
        <v>474</v>
      </c>
      <c r="F2" s="4" t="s">
        <v>475</v>
      </c>
      <c r="G2" s="4" t="s">
        <v>476</v>
      </c>
      <c r="H2" s="4" t="s">
        <v>477</v>
      </c>
      <c r="I2" s="4" t="s">
        <v>50</v>
      </c>
      <c r="J2" s="4" t="s">
        <v>478</v>
      </c>
      <c r="K2" s="4" t="s">
        <v>479</v>
      </c>
      <c r="L2" s="4" t="s">
        <v>480</v>
      </c>
      <c r="M2" s="4" t="s">
        <v>481</v>
      </c>
      <c r="N2" s="4" t="s">
        <v>482</v>
      </c>
    </row>
    <row r="3" spans="1:14" ht="24" customHeight="1">
      <c r="A3" s="2" t="s">
        <v>483</v>
      </c>
      <c r="B3" s="5">
        <v>75</v>
      </c>
      <c r="C3" s="2" t="s">
        <v>484</v>
      </c>
      <c r="D3" s="2" t="s">
        <v>485</v>
      </c>
      <c r="E3" s="2" t="s">
        <v>484</v>
      </c>
      <c r="F3" s="5"/>
      <c r="G3" s="5"/>
      <c r="H3" s="2" t="s">
        <v>484</v>
      </c>
      <c r="I3" s="2" t="s">
        <v>99</v>
      </c>
      <c r="J3" s="6" t="s">
        <v>486</v>
      </c>
      <c r="K3" s="8" t="s">
        <v>487</v>
      </c>
      <c r="L3" s="5">
        <v>1</v>
      </c>
      <c r="M3" s="2" t="s">
        <v>488</v>
      </c>
      <c r="N3" s="7">
        <v>46298</v>
      </c>
    </row>
    <row r="4" spans="1:14" ht="24" customHeight="1">
      <c r="A4" s="2" t="s">
        <v>483</v>
      </c>
      <c r="B4" s="5">
        <v>100</v>
      </c>
      <c r="C4" s="2" t="s">
        <v>484</v>
      </c>
      <c r="D4" s="2" t="s">
        <v>485</v>
      </c>
      <c r="E4" s="2" t="s">
        <v>484</v>
      </c>
      <c r="F4" s="5"/>
      <c r="G4" s="5"/>
      <c r="H4" s="2" t="s">
        <v>484</v>
      </c>
      <c r="I4" s="2" t="s">
        <v>99</v>
      </c>
      <c r="J4" s="6" t="s">
        <v>489</v>
      </c>
      <c r="K4" s="8" t="s">
        <v>487</v>
      </c>
      <c r="L4" s="5">
        <v>1</v>
      </c>
      <c r="M4" s="2" t="s">
        <v>488</v>
      </c>
      <c r="N4" s="7">
        <v>46298</v>
      </c>
    </row>
    <row r="5" spans="1:14" ht="24" customHeight="1">
      <c r="A5" s="2" t="s">
        <v>483</v>
      </c>
      <c r="B5" s="5">
        <v>125</v>
      </c>
      <c r="C5" s="2" t="s">
        <v>484</v>
      </c>
      <c r="D5" s="2" t="s">
        <v>485</v>
      </c>
      <c r="E5" s="2" t="s">
        <v>484</v>
      </c>
      <c r="F5" s="5"/>
      <c r="G5" s="5"/>
      <c r="H5" s="2" t="s">
        <v>484</v>
      </c>
      <c r="I5" s="2" t="s">
        <v>99</v>
      </c>
      <c r="J5" s="6" t="s">
        <v>490</v>
      </c>
      <c r="K5" s="8" t="s">
        <v>487</v>
      </c>
      <c r="L5" s="5">
        <v>1</v>
      </c>
      <c r="M5" s="2" t="s">
        <v>488</v>
      </c>
      <c r="N5" s="7">
        <v>46298</v>
      </c>
    </row>
    <row r="6" spans="1:14" ht="24" customHeight="1">
      <c r="A6" s="2" t="s">
        <v>483</v>
      </c>
      <c r="B6" s="5">
        <v>150</v>
      </c>
      <c r="C6" s="2" t="s">
        <v>484</v>
      </c>
      <c r="D6" s="2" t="s">
        <v>485</v>
      </c>
      <c r="E6" s="2" t="s">
        <v>484</v>
      </c>
      <c r="F6" s="5"/>
      <c r="G6" s="5"/>
      <c r="H6" s="2" t="s">
        <v>484</v>
      </c>
      <c r="I6" s="2" t="s">
        <v>99</v>
      </c>
      <c r="J6" s="6" t="s">
        <v>491</v>
      </c>
      <c r="K6" s="8" t="s">
        <v>487</v>
      </c>
      <c r="L6" s="5">
        <v>1</v>
      </c>
      <c r="M6" s="2" t="s">
        <v>488</v>
      </c>
      <c r="N6" s="7">
        <v>46298</v>
      </c>
    </row>
    <row r="7" spans="1:14" ht="24" customHeight="1">
      <c r="A7" s="2" t="s">
        <v>483</v>
      </c>
      <c r="B7" s="5">
        <v>175</v>
      </c>
      <c r="C7" s="2" t="s">
        <v>484</v>
      </c>
      <c r="D7" s="2" t="s">
        <v>485</v>
      </c>
      <c r="E7" s="2" t="s">
        <v>484</v>
      </c>
      <c r="F7" s="5"/>
      <c r="G7" s="5"/>
      <c r="H7" s="2" t="s">
        <v>484</v>
      </c>
      <c r="I7" s="2" t="s">
        <v>99</v>
      </c>
      <c r="J7" s="6" t="s">
        <v>492</v>
      </c>
      <c r="K7" s="8" t="s">
        <v>487</v>
      </c>
      <c r="L7" s="5">
        <v>1</v>
      </c>
      <c r="M7" s="2" t="s">
        <v>488</v>
      </c>
      <c r="N7" s="7">
        <v>46298</v>
      </c>
    </row>
    <row r="8" spans="1:14" ht="24" customHeight="1">
      <c r="A8" s="2" t="s">
        <v>483</v>
      </c>
      <c r="B8" s="5">
        <v>200</v>
      </c>
      <c r="C8" s="2" t="s">
        <v>484</v>
      </c>
      <c r="D8" s="2" t="s">
        <v>485</v>
      </c>
      <c r="E8" s="2" t="s">
        <v>484</v>
      </c>
      <c r="F8" s="5"/>
      <c r="G8" s="5"/>
      <c r="H8" s="2" t="s">
        <v>484</v>
      </c>
      <c r="I8" s="2" t="s">
        <v>99</v>
      </c>
      <c r="J8" s="6" t="s">
        <v>493</v>
      </c>
      <c r="K8" s="8" t="s">
        <v>487</v>
      </c>
      <c r="L8" s="5">
        <v>1</v>
      </c>
      <c r="M8" s="2" t="s">
        <v>488</v>
      </c>
      <c r="N8" s="7">
        <v>46298</v>
      </c>
    </row>
    <row r="9" spans="1:14" ht="24" customHeight="1">
      <c r="A9" s="2" t="s">
        <v>483</v>
      </c>
      <c r="B9" s="5">
        <v>100</v>
      </c>
      <c r="C9" s="2" t="s">
        <v>484</v>
      </c>
      <c r="D9" s="2" t="s">
        <v>485</v>
      </c>
      <c r="E9" s="2" t="s">
        <v>494</v>
      </c>
      <c r="F9" s="5">
        <v>10</v>
      </c>
      <c r="G9" s="5"/>
      <c r="H9" s="2" t="s">
        <v>484</v>
      </c>
      <c r="I9" s="2" t="s">
        <v>99</v>
      </c>
      <c r="J9" s="6" t="s">
        <v>495</v>
      </c>
      <c r="K9" s="8" t="s">
        <v>487</v>
      </c>
      <c r="L9" s="5">
        <v>1</v>
      </c>
      <c r="M9" s="2" t="s">
        <v>488</v>
      </c>
      <c r="N9" s="7">
        <v>46298</v>
      </c>
    </row>
    <row r="10" spans="1:14" ht="24" customHeight="1">
      <c r="A10" s="2" t="s">
        <v>483</v>
      </c>
      <c r="B10" s="5">
        <v>150</v>
      </c>
      <c r="C10" s="2" t="s">
        <v>484</v>
      </c>
      <c r="D10" s="2" t="s">
        <v>485</v>
      </c>
      <c r="E10" s="2" t="s">
        <v>494</v>
      </c>
      <c r="F10" s="5">
        <v>10</v>
      </c>
      <c r="G10" s="5"/>
      <c r="H10" s="2" t="s">
        <v>484</v>
      </c>
      <c r="I10" s="2" t="s">
        <v>99</v>
      </c>
      <c r="J10" s="6" t="s">
        <v>496</v>
      </c>
      <c r="K10" s="8" t="s">
        <v>487</v>
      </c>
      <c r="L10" s="5">
        <v>1</v>
      </c>
      <c r="M10" s="2" t="s">
        <v>488</v>
      </c>
      <c r="N10" s="7">
        <v>46298</v>
      </c>
    </row>
    <row r="11" spans="1:14" ht="24" customHeight="1">
      <c r="A11" s="2" t="s">
        <v>483</v>
      </c>
      <c r="B11" s="5">
        <v>175</v>
      </c>
      <c r="C11" s="2" t="s">
        <v>484</v>
      </c>
      <c r="D11" s="2" t="s">
        <v>485</v>
      </c>
      <c r="E11" s="2" t="s">
        <v>494</v>
      </c>
      <c r="F11" s="5">
        <v>10</v>
      </c>
      <c r="G11" s="5"/>
      <c r="H11" s="2" t="s">
        <v>484</v>
      </c>
      <c r="I11" s="2" t="s">
        <v>99</v>
      </c>
      <c r="J11" s="6" t="s">
        <v>497</v>
      </c>
      <c r="K11" s="8" t="s">
        <v>487</v>
      </c>
      <c r="L11" s="5">
        <v>1</v>
      </c>
      <c r="M11" s="2" t="s">
        <v>488</v>
      </c>
      <c r="N11" s="7">
        <v>46298</v>
      </c>
    </row>
    <row r="12" spans="1:14" ht="24" customHeight="1">
      <c r="A12" s="2" t="s">
        <v>483</v>
      </c>
      <c r="B12" s="5">
        <v>200</v>
      </c>
      <c r="C12" s="2" t="s">
        <v>484</v>
      </c>
      <c r="D12" s="2" t="s">
        <v>485</v>
      </c>
      <c r="E12" s="2" t="s">
        <v>494</v>
      </c>
      <c r="F12" s="5">
        <v>10</v>
      </c>
      <c r="G12" s="5"/>
      <c r="H12" s="2" t="s">
        <v>484</v>
      </c>
      <c r="I12" s="2" t="s">
        <v>99</v>
      </c>
      <c r="J12" s="6" t="s">
        <v>498</v>
      </c>
      <c r="K12" s="8" t="s">
        <v>487</v>
      </c>
      <c r="L12" s="5">
        <v>1</v>
      </c>
      <c r="M12" s="2" t="s">
        <v>488</v>
      </c>
      <c r="N12" s="7">
        <v>46298</v>
      </c>
    </row>
    <row r="13" spans="1:14" ht="24" customHeight="1">
      <c r="A13" s="2" t="s">
        <v>483</v>
      </c>
      <c r="B13" s="5">
        <v>75</v>
      </c>
      <c r="C13" s="2" t="s">
        <v>494</v>
      </c>
      <c r="D13" s="2" t="s">
        <v>485</v>
      </c>
      <c r="E13" s="2" t="s">
        <v>484</v>
      </c>
      <c r="F13" s="5"/>
      <c r="G13" s="5">
        <v>72</v>
      </c>
      <c r="H13" s="2" t="s">
        <v>484</v>
      </c>
      <c r="I13" s="2" t="s">
        <v>99</v>
      </c>
      <c r="J13" s="6" t="s">
        <v>499</v>
      </c>
      <c r="K13" s="8" t="s">
        <v>487</v>
      </c>
      <c r="L13" s="5">
        <v>1</v>
      </c>
      <c r="M13" s="2" t="s">
        <v>500</v>
      </c>
      <c r="N13" s="7">
        <v>46298</v>
      </c>
    </row>
    <row r="14" spans="1:14" ht="24" customHeight="1">
      <c r="A14" s="2" t="s">
        <v>483</v>
      </c>
      <c r="B14" s="5">
        <v>100</v>
      </c>
      <c r="C14" s="2" t="s">
        <v>494</v>
      </c>
      <c r="D14" s="2" t="s">
        <v>485</v>
      </c>
      <c r="E14" s="2" t="s">
        <v>484</v>
      </c>
      <c r="F14" s="5"/>
      <c r="G14" s="5">
        <v>72</v>
      </c>
      <c r="H14" s="2" t="s">
        <v>484</v>
      </c>
      <c r="I14" s="2" t="s">
        <v>99</v>
      </c>
      <c r="J14" s="6" t="s">
        <v>501</v>
      </c>
      <c r="K14" s="8" t="s">
        <v>487</v>
      </c>
      <c r="L14" s="5">
        <v>1</v>
      </c>
      <c r="M14" s="2" t="s">
        <v>500</v>
      </c>
      <c r="N14" s="7">
        <v>46298</v>
      </c>
    </row>
    <row r="15" spans="1:14" ht="24" customHeight="1">
      <c r="A15" s="2" t="s">
        <v>483</v>
      </c>
      <c r="B15" s="5">
        <v>150</v>
      </c>
      <c r="C15" s="2" t="s">
        <v>494</v>
      </c>
      <c r="D15" s="2" t="s">
        <v>485</v>
      </c>
      <c r="E15" s="2" t="s">
        <v>484</v>
      </c>
      <c r="F15" s="5"/>
      <c r="G15" s="5">
        <v>72</v>
      </c>
      <c r="H15" s="2" t="s">
        <v>484</v>
      </c>
      <c r="I15" s="2" t="s">
        <v>99</v>
      </c>
      <c r="J15" s="6" t="s">
        <v>502</v>
      </c>
      <c r="K15" s="8" t="s">
        <v>487</v>
      </c>
      <c r="L15" s="5">
        <v>1</v>
      </c>
      <c r="M15" s="2" t="s">
        <v>500</v>
      </c>
      <c r="N15" s="7">
        <v>46298</v>
      </c>
    </row>
    <row r="16" spans="1:14" ht="24" customHeight="1">
      <c r="A16" s="2" t="s">
        <v>483</v>
      </c>
      <c r="B16" s="5">
        <v>175</v>
      </c>
      <c r="C16" s="2" t="s">
        <v>494</v>
      </c>
      <c r="D16" s="2" t="s">
        <v>485</v>
      </c>
      <c r="E16" s="2" t="s">
        <v>484</v>
      </c>
      <c r="F16" s="5"/>
      <c r="G16" s="5">
        <v>72</v>
      </c>
      <c r="H16" s="2" t="s">
        <v>484</v>
      </c>
      <c r="I16" s="2" t="s">
        <v>99</v>
      </c>
      <c r="J16" s="6" t="s">
        <v>503</v>
      </c>
      <c r="K16" s="8" t="s">
        <v>487</v>
      </c>
      <c r="L16" s="5">
        <v>1</v>
      </c>
      <c r="M16" s="2" t="s">
        <v>500</v>
      </c>
      <c r="N16" s="7">
        <v>46298</v>
      </c>
    </row>
    <row r="17" spans="1:14" ht="24" customHeight="1">
      <c r="A17" s="2" t="s">
        <v>483</v>
      </c>
      <c r="B17" s="5">
        <v>200</v>
      </c>
      <c r="C17" s="2" t="s">
        <v>494</v>
      </c>
      <c r="D17" s="2" t="s">
        <v>485</v>
      </c>
      <c r="E17" s="2" t="s">
        <v>484</v>
      </c>
      <c r="F17" s="5"/>
      <c r="G17" s="5">
        <v>72</v>
      </c>
      <c r="H17" s="2" t="s">
        <v>484</v>
      </c>
      <c r="I17" s="2" t="s">
        <v>99</v>
      </c>
      <c r="J17" s="6" t="s">
        <v>504</v>
      </c>
      <c r="K17" s="8" t="s">
        <v>487</v>
      </c>
      <c r="L17" s="5">
        <v>1</v>
      </c>
      <c r="M17" s="2" t="s">
        <v>500</v>
      </c>
      <c r="N17" s="7">
        <v>46298</v>
      </c>
    </row>
    <row r="18" spans="1:14" ht="24" customHeight="1">
      <c r="A18" s="2" t="s">
        <v>483</v>
      </c>
      <c r="B18" s="5">
        <v>100</v>
      </c>
      <c r="C18" s="2" t="s">
        <v>494</v>
      </c>
      <c r="D18" s="2" t="s">
        <v>485</v>
      </c>
      <c r="E18" s="2" t="s">
        <v>494</v>
      </c>
      <c r="F18" s="5">
        <v>10</v>
      </c>
      <c r="G18" s="5">
        <v>72</v>
      </c>
      <c r="H18" s="2" t="s">
        <v>484</v>
      </c>
      <c r="I18" s="2" t="s">
        <v>99</v>
      </c>
      <c r="J18" s="6" t="s">
        <v>505</v>
      </c>
      <c r="K18" s="8" t="s">
        <v>487</v>
      </c>
      <c r="L18" s="5">
        <v>1</v>
      </c>
      <c r="M18" s="2" t="s">
        <v>500</v>
      </c>
      <c r="N18" s="7">
        <v>46298</v>
      </c>
    </row>
    <row r="19" spans="1:14" ht="24" customHeight="1">
      <c r="A19" s="2" t="s">
        <v>483</v>
      </c>
      <c r="B19" s="5">
        <v>150</v>
      </c>
      <c r="C19" s="2" t="s">
        <v>494</v>
      </c>
      <c r="D19" s="2" t="s">
        <v>485</v>
      </c>
      <c r="E19" s="2" t="s">
        <v>494</v>
      </c>
      <c r="F19" s="5">
        <v>10</v>
      </c>
      <c r="G19" s="5">
        <v>72</v>
      </c>
      <c r="H19" s="2" t="s">
        <v>484</v>
      </c>
      <c r="I19" s="2" t="s">
        <v>99</v>
      </c>
      <c r="J19" s="6" t="s">
        <v>506</v>
      </c>
      <c r="K19" s="8" t="s">
        <v>487</v>
      </c>
      <c r="L19" s="5">
        <v>1</v>
      </c>
      <c r="M19" s="2" t="s">
        <v>500</v>
      </c>
      <c r="N19" s="7">
        <v>46298</v>
      </c>
    </row>
    <row r="20" spans="1:14" ht="24" customHeight="1">
      <c r="A20" s="2" t="s">
        <v>483</v>
      </c>
      <c r="B20" s="5">
        <v>175</v>
      </c>
      <c r="C20" s="2" t="s">
        <v>494</v>
      </c>
      <c r="D20" s="2" t="s">
        <v>485</v>
      </c>
      <c r="E20" s="2" t="s">
        <v>494</v>
      </c>
      <c r="F20" s="5">
        <v>10</v>
      </c>
      <c r="G20" s="5">
        <v>72</v>
      </c>
      <c r="H20" s="2" t="s">
        <v>484</v>
      </c>
      <c r="I20" s="2" t="s">
        <v>99</v>
      </c>
      <c r="J20" s="6" t="s">
        <v>507</v>
      </c>
      <c r="K20" s="8" t="s">
        <v>487</v>
      </c>
      <c r="L20" s="5">
        <v>1</v>
      </c>
      <c r="M20" s="2" t="s">
        <v>500</v>
      </c>
      <c r="N20" s="7">
        <v>46298</v>
      </c>
    </row>
    <row r="21" spans="1:14" ht="24" customHeight="1">
      <c r="A21" s="2" t="s">
        <v>483</v>
      </c>
      <c r="B21" s="5">
        <v>200</v>
      </c>
      <c r="C21" s="2" t="s">
        <v>494</v>
      </c>
      <c r="D21" s="2" t="s">
        <v>485</v>
      </c>
      <c r="E21" s="2" t="s">
        <v>494</v>
      </c>
      <c r="F21" s="5">
        <v>10</v>
      </c>
      <c r="G21" s="5">
        <v>72</v>
      </c>
      <c r="H21" s="2" t="s">
        <v>484</v>
      </c>
      <c r="I21" s="2" t="s">
        <v>99</v>
      </c>
      <c r="J21" s="6" t="s">
        <v>508</v>
      </c>
      <c r="K21" s="8" t="s">
        <v>487</v>
      </c>
      <c r="L21" s="5">
        <v>1</v>
      </c>
      <c r="M21" s="2" t="s">
        <v>500</v>
      </c>
      <c r="N21" s="7">
        <v>46298</v>
      </c>
    </row>
    <row r="22" spans="1:14" ht="24" customHeight="1">
      <c r="A22" s="2" t="s">
        <v>483</v>
      </c>
      <c r="B22" s="5">
        <v>150</v>
      </c>
      <c r="C22" s="2" t="s">
        <v>494</v>
      </c>
      <c r="D22" s="2" t="s">
        <v>485</v>
      </c>
      <c r="E22" s="2" t="s">
        <v>494</v>
      </c>
      <c r="F22" s="5">
        <v>10</v>
      </c>
      <c r="G22" s="5">
        <v>72</v>
      </c>
      <c r="H22" s="2" t="s">
        <v>494</v>
      </c>
      <c r="I22" s="2" t="s">
        <v>99</v>
      </c>
      <c r="J22" s="6" t="s">
        <v>509</v>
      </c>
      <c r="K22" s="8" t="s">
        <v>510</v>
      </c>
      <c r="L22" s="5">
        <v>1</v>
      </c>
      <c r="M22" s="2" t="s">
        <v>511</v>
      </c>
      <c r="N22" s="7">
        <v>46298</v>
      </c>
    </row>
    <row r="23" spans="1:14" ht="24" customHeight="1">
      <c r="A23" s="2" t="s">
        <v>512</v>
      </c>
      <c r="B23" s="5">
        <v>100</v>
      </c>
      <c r="C23" s="2" t="s">
        <v>484</v>
      </c>
      <c r="D23" s="2" t="s">
        <v>485</v>
      </c>
      <c r="E23" s="2" t="s">
        <v>494</v>
      </c>
      <c r="F23" s="5">
        <v>10</v>
      </c>
      <c r="G23" s="5"/>
      <c r="H23" s="2" t="s">
        <v>484</v>
      </c>
      <c r="I23" s="2" t="s">
        <v>513</v>
      </c>
      <c r="J23" s="6" t="s">
        <v>514</v>
      </c>
      <c r="K23" s="8" t="s">
        <v>515</v>
      </c>
      <c r="L23" s="5">
        <v>1</v>
      </c>
      <c r="M23" s="2" t="s">
        <v>516</v>
      </c>
      <c r="N23" s="7">
        <v>46298</v>
      </c>
    </row>
    <row r="24" spans="1:14" ht="24" customHeight="1">
      <c r="A24" s="2" t="s">
        <v>512</v>
      </c>
      <c r="B24" s="5">
        <v>125</v>
      </c>
      <c r="C24" s="2" t="s">
        <v>484</v>
      </c>
      <c r="D24" s="2" t="s">
        <v>485</v>
      </c>
      <c r="E24" s="2" t="s">
        <v>494</v>
      </c>
      <c r="F24" s="5">
        <v>10</v>
      </c>
      <c r="G24" s="5"/>
      <c r="H24" s="2" t="s">
        <v>484</v>
      </c>
      <c r="I24" s="2" t="s">
        <v>513</v>
      </c>
      <c r="J24" s="6" t="s">
        <v>517</v>
      </c>
      <c r="K24" s="8" t="s">
        <v>515</v>
      </c>
      <c r="L24" s="5">
        <v>1</v>
      </c>
      <c r="M24" s="2" t="s">
        <v>516</v>
      </c>
      <c r="N24" s="7">
        <v>46298</v>
      </c>
    </row>
    <row r="25" spans="1:14" ht="24" customHeight="1">
      <c r="A25" s="2" t="s">
        <v>512</v>
      </c>
      <c r="B25" s="5">
        <v>150</v>
      </c>
      <c r="C25" s="2" t="s">
        <v>484</v>
      </c>
      <c r="D25" s="2" t="s">
        <v>485</v>
      </c>
      <c r="E25" s="2" t="s">
        <v>494</v>
      </c>
      <c r="F25" s="5">
        <v>10</v>
      </c>
      <c r="G25" s="5"/>
      <c r="H25" s="2" t="s">
        <v>484</v>
      </c>
      <c r="I25" s="2" t="s">
        <v>513</v>
      </c>
      <c r="J25" s="6" t="s">
        <v>518</v>
      </c>
      <c r="K25" s="8" t="s">
        <v>515</v>
      </c>
      <c r="L25" s="5">
        <v>1</v>
      </c>
      <c r="M25" s="2" t="s">
        <v>516</v>
      </c>
      <c r="N25" s="7">
        <v>46298</v>
      </c>
    </row>
    <row r="26" spans="1:14" ht="24" customHeight="1">
      <c r="A26" s="2" t="s">
        <v>512</v>
      </c>
      <c r="B26" s="5">
        <v>175</v>
      </c>
      <c r="C26" s="2" t="s">
        <v>484</v>
      </c>
      <c r="D26" s="2" t="s">
        <v>485</v>
      </c>
      <c r="E26" s="2" t="s">
        <v>494</v>
      </c>
      <c r="F26" s="5">
        <v>10</v>
      </c>
      <c r="G26" s="5"/>
      <c r="H26" s="2" t="s">
        <v>484</v>
      </c>
      <c r="I26" s="2" t="s">
        <v>513</v>
      </c>
      <c r="J26" s="6" t="s">
        <v>519</v>
      </c>
      <c r="K26" s="8" t="s">
        <v>515</v>
      </c>
      <c r="L26" s="5">
        <v>1</v>
      </c>
      <c r="M26" s="2" t="s">
        <v>516</v>
      </c>
      <c r="N26" s="7">
        <v>46298</v>
      </c>
    </row>
    <row r="27" spans="1:14" ht="24" customHeight="1">
      <c r="A27" s="2" t="s">
        <v>512</v>
      </c>
      <c r="B27" s="5">
        <v>200</v>
      </c>
      <c r="C27" s="2" t="s">
        <v>484</v>
      </c>
      <c r="D27" s="2" t="s">
        <v>485</v>
      </c>
      <c r="E27" s="2" t="s">
        <v>494</v>
      </c>
      <c r="F27" s="5">
        <v>10</v>
      </c>
      <c r="G27" s="5"/>
      <c r="H27" s="2" t="s">
        <v>484</v>
      </c>
      <c r="I27" s="2" t="s">
        <v>513</v>
      </c>
      <c r="J27" s="6" t="s">
        <v>520</v>
      </c>
      <c r="K27" s="8" t="s">
        <v>515</v>
      </c>
      <c r="L27" s="5">
        <v>1</v>
      </c>
      <c r="M27" s="2" t="s">
        <v>516</v>
      </c>
      <c r="N27" s="7">
        <v>46298</v>
      </c>
    </row>
    <row r="28" spans="1:14" ht="24" customHeight="1">
      <c r="A28" s="2" t="s">
        <v>512</v>
      </c>
      <c r="B28" s="5">
        <v>250</v>
      </c>
      <c r="C28" s="2" t="s">
        <v>484</v>
      </c>
      <c r="D28" s="2" t="s">
        <v>485</v>
      </c>
      <c r="E28" s="2" t="s">
        <v>494</v>
      </c>
      <c r="F28" s="5">
        <v>10</v>
      </c>
      <c r="G28" s="5"/>
      <c r="H28" s="2" t="s">
        <v>484</v>
      </c>
      <c r="I28" s="2" t="s">
        <v>513</v>
      </c>
      <c r="J28" s="6" t="s">
        <v>521</v>
      </c>
      <c r="K28" s="8" t="s">
        <v>515</v>
      </c>
      <c r="L28" s="5">
        <v>1</v>
      </c>
      <c r="M28" s="2" t="s">
        <v>516</v>
      </c>
      <c r="N28" s="7">
        <v>46298</v>
      </c>
    </row>
    <row r="29" spans="1:14" ht="24" customHeight="1">
      <c r="A29" s="2" t="s">
        <v>512</v>
      </c>
      <c r="B29" s="5">
        <v>300</v>
      </c>
      <c r="C29" s="2" t="s">
        <v>484</v>
      </c>
      <c r="D29" s="2" t="s">
        <v>485</v>
      </c>
      <c r="E29" s="2" t="s">
        <v>494</v>
      </c>
      <c r="F29" s="5">
        <v>10</v>
      </c>
      <c r="G29" s="5"/>
      <c r="H29" s="2" t="s">
        <v>484</v>
      </c>
      <c r="I29" s="2" t="s">
        <v>513</v>
      </c>
      <c r="J29" s="6" t="s">
        <v>522</v>
      </c>
      <c r="K29" s="8" t="s">
        <v>515</v>
      </c>
      <c r="L29" s="5">
        <v>1</v>
      </c>
      <c r="M29" s="2" t="s">
        <v>516</v>
      </c>
      <c r="N29" s="7">
        <v>46298</v>
      </c>
    </row>
  </sheetData>
  <phoneticPr fontId="13"/>
  <dataValidations count="3">
    <dataValidation type="list" sqref="C3:C29 E3:E29 H3:H29" xr:uid="{00000000-0002-0000-0300-000000000000}">
      <formula1>"あり,なし"</formula1>
    </dataValidation>
    <dataValidation type="list" sqref="A3:A29" xr:uid="{00000000-0002-0000-0300-000001000000}">
      <formula1>"深型,平型"</formula1>
    </dataValidation>
    <dataValidation type="list" sqref="L3:L29" xr:uid="{00000000-0002-0000-0300-000002000000}">
      <formula1>"0,1"</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
  <sheetViews>
    <sheetView showGridLines="0" workbookViewId="0">
      <pane xSplit="1" ySplit="2" topLeftCell="B3" activePane="bottomRight" state="frozen"/>
      <selection pane="topRight"/>
      <selection pane="bottomLeft"/>
      <selection pane="bottomRight" activeCell="B3" sqref="B3"/>
    </sheetView>
  </sheetViews>
  <sheetFormatPr defaultRowHeight="13.2"/>
  <cols>
    <col min="1" max="1" width="24" customWidth="1"/>
    <col min="2" max="3" width="15" customWidth="1"/>
    <col min="4" max="4" width="50" customWidth="1"/>
    <col min="5" max="5" width="15" customWidth="1"/>
    <col min="6" max="6" width="105" customWidth="1"/>
    <col min="7" max="7" width="15" customWidth="1"/>
  </cols>
  <sheetData>
    <row r="1" spans="1:7" ht="27.9" customHeight="1">
      <c r="A1" s="3" t="s">
        <v>9</v>
      </c>
      <c r="B1" s="3" t="s">
        <v>465</v>
      </c>
      <c r="C1" s="3" t="s">
        <v>458</v>
      </c>
      <c r="D1" s="3" t="s">
        <v>466</v>
      </c>
      <c r="E1" s="3" t="s">
        <v>467</v>
      </c>
      <c r="F1" s="3" t="s">
        <v>468</v>
      </c>
      <c r="G1" s="3" t="s">
        <v>469</v>
      </c>
    </row>
    <row r="2" spans="1:7" ht="27.9" customHeight="1">
      <c r="A2" s="4" t="s">
        <v>523</v>
      </c>
      <c r="B2" s="4" t="s">
        <v>50</v>
      </c>
      <c r="C2" s="4" t="s">
        <v>524</v>
      </c>
      <c r="D2" s="4" t="s">
        <v>525</v>
      </c>
      <c r="E2" s="4" t="s">
        <v>480</v>
      </c>
      <c r="F2" s="4" t="s">
        <v>481</v>
      </c>
      <c r="G2" s="4" t="s">
        <v>482</v>
      </c>
    </row>
    <row r="3" spans="1:7" ht="24" customHeight="1">
      <c r="A3" s="6" t="s">
        <v>526</v>
      </c>
      <c r="B3" s="2" t="s">
        <v>99</v>
      </c>
      <c r="C3" s="5">
        <v>100</v>
      </c>
      <c r="D3" s="2" t="s">
        <v>527</v>
      </c>
      <c r="E3" s="5">
        <v>1</v>
      </c>
      <c r="F3" s="2" t="s">
        <v>528</v>
      </c>
      <c r="G3" s="7">
        <v>46298</v>
      </c>
    </row>
  </sheetData>
  <phoneticPr fontId="13"/>
  <dataValidations count="1">
    <dataValidation type="list" sqref="E3" xr:uid="{00000000-0002-0000-0400-000000000000}">
      <formula1>"0,1"</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
  <sheetViews>
    <sheetView showGridLines="0" workbookViewId="0">
      <pane ySplit="1" topLeftCell="A2" activePane="bottomLeft" state="frozen"/>
      <selection pane="bottomLeft"/>
    </sheetView>
  </sheetViews>
  <sheetFormatPr defaultRowHeight="13.2"/>
  <cols>
    <col min="1" max="1" width="22.6640625" customWidth="1"/>
  </cols>
  <sheetData>
    <row r="1" spans="1:2" ht="31.95" customHeight="1">
      <c r="A1" s="30" t="s">
        <v>529</v>
      </c>
      <c r="B1" s="30" t="s">
        <v>530</v>
      </c>
    </row>
    <row r="2" spans="1:2">
      <c r="A2" s="29" t="s">
        <v>531</v>
      </c>
      <c r="B2" s="29" t="s">
        <v>532</v>
      </c>
    </row>
  </sheetData>
  <phoneticPr fontId="1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6"/>
  <sheetViews>
    <sheetView showGridLines="0" workbookViewId="0">
      <pane ySplit="1" topLeftCell="A2" activePane="bottomLeft" state="frozen"/>
      <selection pane="bottomLeft"/>
    </sheetView>
  </sheetViews>
  <sheetFormatPr defaultRowHeight="13.2"/>
  <cols>
    <col min="1" max="1" width="22.6640625" customWidth="1"/>
  </cols>
  <sheetData>
    <row r="1" spans="1:9" ht="31.95" customHeight="1">
      <c r="A1" s="30" t="s">
        <v>533</v>
      </c>
      <c r="B1" s="30" t="s">
        <v>534</v>
      </c>
      <c r="C1" s="30" t="s">
        <v>535</v>
      </c>
      <c r="D1" s="30" t="s">
        <v>536</v>
      </c>
      <c r="E1" s="30" t="s">
        <v>537</v>
      </c>
      <c r="F1" s="30" t="s">
        <v>538</v>
      </c>
      <c r="G1" s="30" t="s">
        <v>539</v>
      </c>
      <c r="H1" s="30" t="s">
        <v>540</v>
      </c>
      <c r="I1" s="30" t="s">
        <v>541</v>
      </c>
    </row>
    <row r="2" spans="1:9">
      <c r="A2" s="29" t="s">
        <v>542</v>
      </c>
      <c r="B2" s="29" t="s">
        <v>543</v>
      </c>
      <c r="C2" s="29" t="s">
        <v>544</v>
      </c>
      <c r="D2" s="29" t="s">
        <v>532</v>
      </c>
      <c r="E2" s="29">
        <v>1</v>
      </c>
      <c r="F2" s="29">
        <v>0</v>
      </c>
      <c r="G2" s="29">
        <v>0</v>
      </c>
      <c r="H2" s="29"/>
      <c r="I2" s="29"/>
    </row>
    <row r="3" spans="1:9">
      <c r="A3" s="29" t="s">
        <v>542</v>
      </c>
      <c r="B3" s="29" t="s">
        <v>543</v>
      </c>
      <c r="C3" s="29" t="s">
        <v>545</v>
      </c>
      <c r="D3" s="29" t="s">
        <v>532</v>
      </c>
      <c r="E3" s="29">
        <v>2</v>
      </c>
      <c r="F3" s="29">
        <v>0</v>
      </c>
      <c r="G3" s="29">
        <v>0</v>
      </c>
      <c r="H3" s="29"/>
      <c r="I3" s="29"/>
    </row>
    <row r="4" spans="1:9">
      <c r="A4" s="29" t="s">
        <v>542</v>
      </c>
      <c r="B4" s="29" t="s">
        <v>543</v>
      </c>
      <c r="C4" s="29" t="s">
        <v>546</v>
      </c>
      <c r="D4" s="29" t="s">
        <v>532</v>
      </c>
      <c r="E4" s="29">
        <v>3</v>
      </c>
      <c r="F4" s="29">
        <v>0</v>
      </c>
      <c r="G4" s="29">
        <v>0</v>
      </c>
      <c r="H4" s="29"/>
      <c r="I4" s="29"/>
    </row>
    <row r="5" spans="1:9" ht="36" customHeight="1">
      <c r="A5" s="29" t="s">
        <v>547</v>
      </c>
      <c r="B5" s="29" t="s">
        <v>548</v>
      </c>
      <c r="C5" s="29" t="s">
        <v>549</v>
      </c>
      <c r="D5" s="29" t="s">
        <v>532</v>
      </c>
      <c r="E5" s="29">
        <v>4</v>
      </c>
      <c r="F5" s="29">
        <v>0</v>
      </c>
      <c r="G5" s="29">
        <v>0</v>
      </c>
      <c r="H5" s="29" t="s">
        <v>550</v>
      </c>
      <c r="I5" s="29" t="s">
        <v>551</v>
      </c>
    </row>
    <row r="6" spans="1:9" ht="36" customHeight="1">
      <c r="A6" s="29" t="s">
        <v>547</v>
      </c>
      <c r="B6" s="29">
        <f>1+1</f>
        <v>2</v>
      </c>
      <c r="C6" s="29" t="s">
        <v>552</v>
      </c>
      <c r="D6" s="29" t="s">
        <v>532</v>
      </c>
      <c r="E6" s="29">
        <v>5</v>
      </c>
      <c r="F6" s="29">
        <v>0</v>
      </c>
      <c r="G6" s="29">
        <v>0</v>
      </c>
      <c r="H6" s="29" t="s">
        <v>9</v>
      </c>
      <c r="I6" s="29" t="s">
        <v>553</v>
      </c>
    </row>
  </sheetData>
  <phoneticPr fontId="1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6"/>
  <sheetViews>
    <sheetView showGridLines="0" workbookViewId="0">
      <pane ySplit="1" topLeftCell="A2" activePane="bottomLeft" state="frozen"/>
      <selection pane="bottomLeft"/>
    </sheetView>
  </sheetViews>
  <sheetFormatPr defaultRowHeight="13.2"/>
  <cols>
    <col min="1" max="1" width="22.6640625" customWidth="1"/>
  </cols>
  <sheetData>
    <row r="1" spans="1:34" ht="31.95" customHeight="1">
      <c r="A1" s="30" t="s">
        <v>554</v>
      </c>
      <c r="B1" s="30" t="s">
        <v>555</v>
      </c>
      <c r="C1" s="30" t="s">
        <v>556</v>
      </c>
      <c r="D1" s="30" t="s">
        <v>557</v>
      </c>
      <c r="E1" s="30" t="s">
        <v>537</v>
      </c>
      <c r="F1" s="30" t="s">
        <v>538</v>
      </c>
      <c r="G1" s="30" t="s">
        <v>539</v>
      </c>
      <c r="H1" s="30" t="s">
        <v>558</v>
      </c>
      <c r="I1" s="30" t="s">
        <v>559</v>
      </c>
      <c r="J1" s="30" t="s">
        <v>560</v>
      </c>
      <c r="K1" s="30" t="s">
        <v>561</v>
      </c>
      <c r="L1" s="30" t="s">
        <v>562</v>
      </c>
      <c r="M1" s="30" t="s">
        <v>563</v>
      </c>
      <c r="N1" s="30" t="s">
        <v>564</v>
      </c>
      <c r="O1" s="30" t="s">
        <v>565</v>
      </c>
      <c r="P1" s="30" t="s">
        <v>566</v>
      </c>
      <c r="Q1" s="30" t="s">
        <v>567</v>
      </c>
      <c r="R1" s="30" t="s">
        <v>568</v>
      </c>
      <c r="S1" s="30" t="s">
        <v>569</v>
      </c>
      <c r="T1" s="30" t="s">
        <v>570</v>
      </c>
      <c r="U1" s="30" t="s">
        <v>571</v>
      </c>
      <c r="V1" s="30" t="s">
        <v>572</v>
      </c>
      <c r="W1" s="30" t="s">
        <v>573</v>
      </c>
      <c r="X1" s="30" t="s">
        <v>574</v>
      </c>
      <c r="Y1" s="30" t="s">
        <v>575</v>
      </c>
      <c r="Z1" s="30" t="s">
        <v>576</v>
      </c>
      <c r="AA1" s="30" t="s">
        <v>577</v>
      </c>
      <c r="AB1" s="30" t="s">
        <v>578</v>
      </c>
      <c r="AC1" s="30" t="s">
        <v>579</v>
      </c>
      <c r="AD1" s="30" t="s">
        <v>580</v>
      </c>
      <c r="AE1" s="30" t="s">
        <v>581</v>
      </c>
      <c r="AF1" s="30" t="s">
        <v>582</v>
      </c>
      <c r="AG1" s="30" t="s">
        <v>462</v>
      </c>
      <c r="AH1" s="30" t="s">
        <v>463</v>
      </c>
    </row>
    <row r="2" spans="1:34" ht="108" customHeight="1">
      <c r="A2" s="29" t="s">
        <v>583</v>
      </c>
      <c r="B2" s="29" t="s">
        <v>544</v>
      </c>
      <c r="C2" s="29" t="s">
        <v>534</v>
      </c>
      <c r="D2" s="29" t="s">
        <v>532</v>
      </c>
      <c r="E2" s="29">
        <v>1</v>
      </c>
      <c r="F2" s="29">
        <v>0</v>
      </c>
      <c r="G2" s="29">
        <v>0</v>
      </c>
      <c r="H2" s="29" t="s">
        <v>584</v>
      </c>
      <c r="I2" s="29" t="s">
        <v>584</v>
      </c>
      <c r="J2" s="29" t="s">
        <v>542</v>
      </c>
      <c r="K2" s="29" t="s">
        <v>506</v>
      </c>
      <c r="L2" s="29" t="s">
        <v>484</v>
      </c>
      <c r="M2" s="29"/>
      <c r="N2" s="29" t="s">
        <v>585</v>
      </c>
      <c r="O2" s="29" t="s">
        <v>543</v>
      </c>
      <c r="P2" s="29" t="s">
        <v>543</v>
      </c>
      <c r="Q2" s="29" t="s">
        <v>586</v>
      </c>
      <c r="R2" s="29" t="s">
        <v>586</v>
      </c>
      <c r="S2" s="29" t="s">
        <v>494</v>
      </c>
      <c r="T2" s="29" t="s">
        <v>494</v>
      </c>
      <c r="U2" s="29" t="s">
        <v>483</v>
      </c>
      <c r="V2" s="29" t="s">
        <v>483</v>
      </c>
      <c r="W2" s="29" t="s">
        <v>485</v>
      </c>
      <c r="X2" s="29" t="s">
        <v>485</v>
      </c>
      <c r="Y2" s="29" t="s">
        <v>494</v>
      </c>
      <c r="Z2" s="29" t="s">
        <v>494</v>
      </c>
      <c r="AA2" s="29" t="s">
        <v>484</v>
      </c>
      <c r="AB2" s="29" t="s">
        <v>484</v>
      </c>
      <c r="AC2" s="29"/>
      <c r="AD2" s="29"/>
      <c r="AE2" s="29"/>
      <c r="AF2" s="29" t="s">
        <v>484</v>
      </c>
      <c r="AG2" s="29" t="s">
        <v>587</v>
      </c>
      <c r="AH2" s="29" t="s">
        <v>588</v>
      </c>
    </row>
    <row r="3" spans="1:34" ht="108" customHeight="1">
      <c r="A3" s="29" t="s">
        <v>583</v>
      </c>
      <c r="B3" s="29" t="s">
        <v>545</v>
      </c>
      <c r="C3" s="29" t="s">
        <v>534</v>
      </c>
      <c r="D3" s="29" t="s">
        <v>532</v>
      </c>
      <c r="E3" s="29">
        <v>2</v>
      </c>
      <c r="F3" s="29">
        <v>0</v>
      </c>
      <c r="G3" s="29">
        <v>0</v>
      </c>
      <c r="H3" s="29" t="s">
        <v>584</v>
      </c>
      <c r="I3" s="29" t="s">
        <v>584</v>
      </c>
      <c r="J3" s="29" t="s">
        <v>542</v>
      </c>
      <c r="K3" s="29" t="s">
        <v>506</v>
      </c>
      <c r="L3" s="29" t="s">
        <v>484</v>
      </c>
      <c r="M3" s="29"/>
      <c r="N3" s="29" t="s">
        <v>585</v>
      </c>
      <c r="O3" s="29" t="s">
        <v>543</v>
      </c>
      <c r="P3" s="29" t="s">
        <v>543</v>
      </c>
      <c r="Q3" s="29" t="s">
        <v>586</v>
      </c>
      <c r="R3" s="29" t="s">
        <v>586</v>
      </c>
      <c r="S3" s="29" t="s">
        <v>494</v>
      </c>
      <c r="T3" s="29" t="s">
        <v>494</v>
      </c>
      <c r="U3" s="29" t="s">
        <v>483</v>
      </c>
      <c r="V3" s="29" t="s">
        <v>483</v>
      </c>
      <c r="W3" s="29" t="s">
        <v>485</v>
      </c>
      <c r="X3" s="29" t="s">
        <v>485</v>
      </c>
      <c r="Y3" s="29" t="s">
        <v>494</v>
      </c>
      <c r="Z3" s="29" t="s">
        <v>494</v>
      </c>
      <c r="AA3" s="29" t="s">
        <v>484</v>
      </c>
      <c r="AB3" s="29" t="s">
        <v>484</v>
      </c>
      <c r="AC3" s="29"/>
      <c r="AD3" s="29"/>
      <c r="AE3" s="29"/>
      <c r="AF3" s="29" t="s">
        <v>484</v>
      </c>
      <c r="AG3" s="29" t="s">
        <v>587</v>
      </c>
      <c r="AH3" s="29" t="s">
        <v>588</v>
      </c>
    </row>
    <row r="4" spans="1:34" ht="108" customHeight="1">
      <c r="A4" s="29" t="s">
        <v>583</v>
      </c>
      <c r="B4" s="29" t="s">
        <v>546</v>
      </c>
      <c r="C4" s="29" t="s">
        <v>534</v>
      </c>
      <c r="D4" s="29" t="s">
        <v>532</v>
      </c>
      <c r="E4" s="29">
        <v>3</v>
      </c>
      <c r="F4" s="29">
        <v>0</v>
      </c>
      <c r="G4" s="29">
        <v>0</v>
      </c>
      <c r="H4" s="29" t="s">
        <v>589</v>
      </c>
      <c r="I4" s="29" t="s">
        <v>589</v>
      </c>
      <c r="J4" s="29" t="s">
        <v>542</v>
      </c>
      <c r="K4" s="29" t="s">
        <v>506</v>
      </c>
      <c r="L4" s="29" t="s">
        <v>484</v>
      </c>
      <c r="M4" s="29"/>
      <c r="N4" s="29" t="s">
        <v>585</v>
      </c>
      <c r="O4" s="29" t="s">
        <v>543</v>
      </c>
      <c r="P4" s="29" t="s">
        <v>543</v>
      </c>
      <c r="Q4" s="29" t="s">
        <v>586</v>
      </c>
      <c r="R4" s="29" t="s">
        <v>586</v>
      </c>
      <c r="S4" s="29" t="s">
        <v>494</v>
      </c>
      <c r="T4" s="29" t="s">
        <v>494</v>
      </c>
      <c r="U4" s="29" t="s">
        <v>483</v>
      </c>
      <c r="V4" s="29" t="s">
        <v>483</v>
      </c>
      <c r="W4" s="29" t="s">
        <v>485</v>
      </c>
      <c r="X4" s="29" t="s">
        <v>485</v>
      </c>
      <c r="Y4" s="29" t="s">
        <v>494</v>
      </c>
      <c r="Z4" s="29" t="s">
        <v>494</v>
      </c>
      <c r="AA4" s="29" t="s">
        <v>484</v>
      </c>
      <c r="AB4" s="29" t="s">
        <v>484</v>
      </c>
      <c r="AC4" s="29"/>
      <c r="AD4" s="29"/>
      <c r="AE4" s="29"/>
      <c r="AF4" s="29" t="s">
        <v>484</v>
      </c>
      <c r="AG4" s="29" t="s">
        <v>587</v>
      </c>
      <c r="AH4" s="29" t="s">
        <v>588</v>
      </c>
    </row>
    <row r="5" spans="1:34" ht="108" customHeight="1">
      <c r="A5" s="29" t="s">
        <v>583</v>
      </c>
      <c r="B5" s="29" t="s">
        <v>549</v>
      </c>
      <c r="C5" s="29" t="s">
        <v>534</v>
      </c>
      <c r="D5" s="29" t="s">
        <v>532</v>
      </c>
      <c r="E5" s="29">
        <v>4</v>
      </c>
      <c r="F5" s="29">
        <v>0</v>
      </c>
      <c r="G5" s="29">
        <v>0</v>
      </c>
      <c r="H5" s="29" t="s">
        <v>584</v>
      </c>
      <c r="I5" s="29" t="s">
        <v>584</v>
      </c>
      <c r="J5" s="29" t="s">
        <v>124</v>
      </c>
      <c r="K5" s="29" t="s">
        <v>505</v>
      </c>
      <c r="L5" s="29" t="s">
        <v>526</v>
      </c>
      <c r="M5" s="29" t="s">
        <v>551</v>
      </c>
      <c r="N5" s="29" t="s">
        <v>590</v>
      </c>
      <c r="O5" s="29" t="s">
        <v>548</v>
      </c>
      <c r="P5" s="29" t="s">
        <v>548</v>
      </c>
      <c r="Q5" s="29" t="s">
        <v>591</v>
      </c>
      <c r="R5" s="29" t="s">
        <v>591</v>
      </c>
      <c r="S5" s="29" t="s">
        <v>494</v>
      </c>
      <c r="T5" s="29" t="s">
        <v>494</v>
      </c>
      <c r="U5" s="29" t="s">
        <v>483</v>
      </c>
      <c r="V5" s="29" t="s">
        <v>483</v>
      </c>
      <c r="W5" s="29" t="s">
        <v>485</v>
      </c>
      <c r="X5" s="29" t="s">
        <v>485</v>
      </c>
      <c r="Y5" s="29" t="s">
        <v>494</v>
      </c>
      <c r="Z5" s="29" t="s">
        <v>494</v>
      </c>
      <c r="AA5" s="29" t="s">
        <v>526</v>
      </c>
      <c r="AB5" s="29" t="s">
        <v>526</v>
      </c>
      <c r="AC5" s="29"/>
      <c r="AD5" s="29"/>
      <c r="AE5" s="29"/>
      <c r="AF5" s="29" t="s">
        <v>484</v>
      </c>
      <c r="AG5" s="29" t="s">
        <v>587</v>
      </c>
      <c r="AH5" s="29" t="s">
        <v>588</v>
      </c>
    </row>
    <row r="6" spans="1:34" ht="108" customHeight="1">
      <c r="A6" s="29" t="s">
        <v>583</v>
      </c>
      <c r="B6" s="29" t="s">
        <v>552</v>
      </c>
      <c r="C6" s="29" t="s">
        <v>534</v>
      </c>
      <c r="D6" s="29" t="s">
        <v>532</v>
      </c>
      <c r="E6" s="29">
        <v>5</v>
      </c>
      <c r="F6" s="29">
        <v>0</v>
      </c>
      <c r="G6" s="29">
        <v>0</v>
      </c>
      <c r="H6" s="29" t="s">
        <v>589</v>
      </c>
      <c r="I6" s="29" t="s">
        <v>589</v>
      </c>
      <c r="J6" s="29" t="s">
        <v>124</v>
      </c>
      <c r="K6" s="29" t="s">
        <v>592</v>
      </c>
      <c r="L6" s="29" t="s">
        <v>484</v>
      </c>
      <c r="M6" s="29" t="s">
        <v>553</v>
      </c>
      <c r="N6" s="29" t="s">
        <v>593</v>
      </c>
      <c r="O6" s="29">
        <f>1+1</f>
        <v>2</v>
      </c>
      <c r="P6" s="29">
        <f>1+1</f>
        <v>2</v>
      </c>
      <c r="Q6" s="29" t="s">
        <v>586</v>
      </c>
      <c r="R6" s="29" t="s">
        <v>586</v>
      </c>
      <c r="S6" s="29" t="s">
        <v>494</v>
      </c>
      <c r="T6" s="29" t="s">
        <v>494</v>
      </c>
      <c r="U6" s="29" t="s">
        <v>512</v>
      </c>
      <c r="V6" s="29" t="s">
        <v>512</v>
      </c>
      <c r="W6" s="29" t="s">
        <v>485</v>
      </c>
      <c r="X6" s="29" t="s">
        <v>485</v>
      </c>
      <c r="Y6" s="29" t="s">
        <v>494</v>
      </c>
      <c r="Z6" s="29" t="s">
        <v>494</v>
      </c>
      <c r="AA6" s="29" t="s">
        <v>484</v>
      </c>
      <c r="AB6" s="29" t="s">
        <v>484</v>
      </c>
      <c r="AC6" s="29"/>
      <c r="AD6" s="29"/>
      <c r="AE6" s="29"/>
      <c r="AF6" s="29" t="s">
        <v>484</v>
      </c>
      <c r="AG6" s="29" t="s">
        <v>587</v>
      </c>
      <c r="AH6" s="29" t="s">
        <v>588</v>
      </c>
    </row>
  </sheetData>
  <phoneticPr fontId="1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1"/>
  <sheetViews>
    <sheetView showGridLines="0" workbookViewId="0">
      <pane ySplit="1" topLeftCell="A2" activePane="bottomLeft" state="frozen"/>
      <selection pane="bottomLeft"/>
    </sheetView>
  </sheetViews>
  <sheetFormatPr defaultRowHeight="13.2"/>
  <cols>
    <col min="1" max="1" width="8.6640625" customWidth="1"/>
    <col min="2" max="2" width="28.6640625" customWidth="1"/>
    <col min="3" max="3" width="32" customWidth="1"/>
    <col min="4" max="4" width="60" customWidth="1"/>
    <col min="5" max="5" width="7.6640625" customWidth="1"/>
    <col min="8" max="8" width="44" customWidth="1"/>
  </cols>
  <sheetData>
    <row r="1" spans="1:8" ht="31.95" customHeight="1">
      <c r="A1" s="30" t="s">
        <v>594</v>
      </c>
      <c r="B1" s="30" t="s">
        <v>378</v>
      </c>
      <c r="C1" s="30" t="s">
        <v>478</v>
      </c>
      <c r="D1" s="30" t="s">
        <v>595</v>
      </c>
      <c r="E1" s="32" t="s">
        <v>584</v>
      </c>
      <c r="F1" s="32" t="s">
        <v>589</v>
      </c>
      <c r="G1" s="32" t="s">
        <v>596</v>
      </c>
      <c r="H1" s="30" t="s">
        <v>97</v>
      </c>
    </row>
    <row r="2" spans="1:8" ht="42" customHeight="1">
      <c r="A2" s="39" t="s">
        <v>543</v>
      </c>
      <c r="B2" s="39" t="s">
        <v>597</v>
      </c>
      <c r="C2" s="29" t="s">
        <v>99</v>
      </c>
      <c r="D2" s="39" t="s">
        <v>598</v>
      </c>
      <c r="E2" s="41">
        <v>2</v>
      </c>
      <c r="F2" s="41">
        <v>1</v>
      </c>
      <c r="G2" s="41">
        <v>3</v>
      </c>
      <c r="H2" s="39" t="s">
        <v>483</v>
      </c>
    </row>
    <row r="3" spans="1:8" ht="42" customHeight="1">
      <c r="A3" s="40"/>
      <c r="B3" s="40"/>
      <c r="C3" s="29" t="s">
        <v>599</v>
      </c>
      <c r="D3" s="40"/>
      <c r="E3" s="40"/>
      <c r="F3" s="40"/>
      <c r="G3" s="40"/>
      <c r="H3" s="40"/>
    </row>
    <row r="4" spans="1:8" ht="42" customHeight="1">
      <c r="A4" s="29"/>
      <c r="B4" s="29"/>
      <c r="C4" s="29"/>
      <c r="D4" s="29"/>
      <c r="E4" s="31"/>
      <c r="F4" s="31"/>
      <c r="G4" s="31"/>
      <c r="H4" s="29"/>
    </row>
    <row r="5" spans="1:8" ht="42" customHeight="1">
      <c r="A5" s="39" t="s">
        <v>548</v>
      </c>
      <c r="B5" s="39" t="s">
        <v>600</v>
      </c>
      <c r="C5" s="29" t="s">
        <v>601</v>
      </c>
      <c r="D5" s="39" t="s">
        <v>602</v>
      </c>
      <c r="E5" s="41">
        <v>1</v>
      </c>
      <c r="F5" s="41">
        <v>0</v>
      </c>
      <c r="G5" s="41">
        <v>1</v>
      </c>
      <c r="H5" s="39" t="s">
        <v>603</v>
      </c>
    </row>
    <row r="6" spans="1:8" ht="42" customHeight="1">
      <c r="A6" s="40"/>
      <c r="B6" s="40"/>
      <c r="C6" s="29" t="s">
        <v>604</v>
      </c>
      <c r="D6" s="40"/>
      <c r="E6" s="40"/>
      <c r="F6" s="40"/>
      <c r="G6" s="40"/>
      <c r="H6" s="40"/>
    </row>
    <row r="7" spans="1:8" ht="42" customHeight="1">
      <c r="A7" s="40"/>
      <c r="B7" s="40"/>
      <c r="C7" s="29" t="s">
        <v>605</v>
      </c>
      <c r="D7" s="40"/>
      <c r="E7" s="40"/>
      <c r="F7" s="40"/>
      <c r="G7" s="40"/>
      <c r="H7" s="40"/>
    </row>
    <row r="8" spans="1:8" ht="42" customHeight="1">
      <c r="A8" s="29"/>
      <c r="B8" s="29"/>
      <c r="C8" s="29"/>
      <c r="D8" s="29"/>
      <c r="E8" s="31"/>
      <c r="F8" s="31"/>
      <c r="G8" s="31"/>
      <c r="H8" s="29"/>
    </row>
    <row r="9" spans="1:8" ht="42" customHeight="1">
      <c r="A9" s="39">
        <f>1+1</f>
        <v>2</v>
      </c>
      <c r="B9" s="39" t="s">
        <v>597</v>
      </c>
      <c r="C9" s="29" t="s">
        <v>606</v>
      </c>
      <c r="D9" s="39" t="s">
        <v>607</v>
      </c>
      <c r="E9" s="41">
        <v>0</v>
      </c>
      <c r="F9" s="41">
        <v>1</v>
      </c>
      <c r="G9" s="41">
        <v>1</v>
      </c>
      <c r="H9" s="39" t="s">
        <v>608</v>
      </c>
    </row>
    <row r="10" spans="1:8" ht="42" customHeight="1">
      <c r="A10" s="40"/>
      <c r="B10" s="40"/>
      <c r="C10" s="29" t="s">
        <v>609</v>
      </c>
      <c r="D10" s="40"/>
      <c r="E10" s="40"/>
      <c r="F10" s="40"/>
      <c r="G10" s="40"/>
      <c r="H10" s="40"/>
    </row>
    <row r="11" spans="1:8" ht="42" customHeight="1">
      <c r="A11" s="29"/>
      <c r="B11" s="29"/>
      <c r="C11" s="29"/>
      <c r="D11" s="29"/>
      <c r="E11" s="31"/>
      <c r="F11" s="31"/>
      <c r="G11" s="31"/>
      <c r="H11" s="29"/>
    </row>
  </sheetData>
  <mergeCells count="21">
    <mergeCell ref="E5:E7"/>
    <mergeCell ref="F5:F7"/>
    <mergeCell ref="G9:G10"/>
    <mergeCell ref="A9:A10"/>
    <mergeCell ref="G2:G3"/>
    <mergeCell ref="H9:H10"/>
    <mergeCell ref="D5:D7"/>
    <mergeCell ref="A5:A7"/>
    <mergeCell ref="B2:B3"/>
    <mergeCell ref="G5:G7"/>
    <mergeCell ref="D2:D3"/>
    <mergeCell ref="F2:F3"/>
    <mergeCell ref="H2:H3"/>
    <mergeCell ref="B5:B7"/>
    <mergeCell ref="E9:E10"/>
    <mergeCell ref="A2:A3"/>
    <mergeCell ref="H5:H7"/>
    <mergeCell ref="E2:E3"/>
    <mergeCell ref="B9:B10"/>
    <mergeCell ref="D9:D10"/>
    <mergeCell ref="F9:F10"/>
  </mergeCells>
  <phoneticPr fontId="1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7"/>
  <sheetViews>
    <sheetView showGridLines="0" workbookViewId="0">
      <pane ySplit="1" topLeftCell="A2" activePane="bottomLeft" state="frozen"/>
      <selection pane="bottomLeft"/>
    </sheetView>
  </sheetViews>
  <sheetFormatPr defaultRowHeight="13.2"/>
  <cols>
    <col min="1" max="13" width="16" customWidth="1"/>
    <col min="14" max="14" width="44" customWidth="1"/>
  </cols>
  <sheetData>
    <row r="1" spans="1:14" ht="36" customHeight="1">
      <c r="A1" s="33" t="s">
        <v>610</v>
      </c>
      <c r="B1" s="33" t="s">
        <v>534</v>
      </c>
      <c r="C1" s="33" t="s">
        <v>458</v>
      </c>
      <c r="D1" s="33" t="s">
        <v>459</v>
      </c>
      <c r="E1" s="33" t="s">
        <v>457</v>
      </c>
      <c r="F1" s="33" t="s">
        <v>460</v>
      </c>
      <c r="G1" s="33" t="s">
        <v>461</v>
      </c>
      <c r="H1" s="33" t="s">
        <v>550</v>
      </c>
      <c r="I1" s="33" t="s">
        <v>464</v>
      </c>
      <c r="J1" s="33" t="s">
        <v>611</v>
      </c>
      <c r="K1" s="33" t="s">
        <v>612</v>
      </c>
      <c r="L1" s="33" t="s">
        <v>613</v>
      </c>
      <c r="M1" s="33" t="s">
        <v>614</v>
      </c>
      <c r="N1" s="33" t="s">
        <v>615</v>
      </c>
    </row>
    <row r="2" spans="1:14" ht="24" customHeight="1">
      <c r="A2" s="28" t="s">
        <v>616</v>
      </c>
      <c r="B2" s="28" t="s">
        <v>545</v>
      </c>
      <c r="C2" s="28">
        <v>150</v>
      </c>
      <c r="D2" s="28" t="s">
        <v>494</v>
      </c>
      <c r="E2" s="28" t="s">
        <v>483</v>
      </c>
      <c r="F2" s="28" t="s">
        <v>485</v>
      </c>
      <c r="G2" s="28" t="s">
        <v>494</v>
      </c>
      <c r="H2" s="28" t="s">
        <v>484</v>
      </c>
      <c r="I2" s="28"/>
      <c r="J2" s="28" t="s">
        <v>584</v>
      </c>
      <c r="K2" s="28" t="s">
        <v>506</v>
      </c>
      <c r="L2" s="28"/>
      <c r="M2" s="28">
        <v>1</v>
      </c>
      <c r="N2" s="28" t="s">
        <v>542</v>
      </c>
    </row>
    <row r="3" spans="1:14" ht="24" customHeight="1">
      <c r="A3" s="28" t="s">
        <v>617</v>
      </c>
      <c r="B3" s="28" t="s">
        <v>545</v>
      </c>
      <c r="C3" s="28">
        <v>150</v>
      </c>
      <c r="D3" s="28" t="s">
        <v>494</v>
      </c>
      <c r="E3" s="28" t="s">
        <v>483</v>
      </c>
      <c r="F3" s="28" t="s">
        <v>485</v>
      </c>
      <c r="G3" s="28" t="s">
        <v>494</v>
      </c>
      <c r="H3" s="28" t="s">
        <v>484</v>
      </c>
      <c r="I3" s="28"/>
      <c r="J3" s="28" t="s">
        <v>584</v>
      </c>
      <c r="K3" s="28" t="s">
        <v>506</v>
      </c>
      <c r="L3" s="28"/>
      <c r="M3" s="28">
        <v>2</v>
      </c>
      <c r="N3" s="28" t="s">
        <v>542</v>
      </c>
    </row>
    <row r="4" spans="1:14" ht="24" customHeight="1">
      <c r="A4" s="28" t="s">
        <v>618</v>
      </c>
      <c r="B4" s="28" t="s">
        <v>545</v>
      </c>
      <c r="C4" s="28">
        <v>150</v>
      </c>
      <c r="D4" s="28" t="s">
        <v>494</v>
      </c>
      <c r="E4" s="28" t="s">
        <v>483</v>
      </c>
      <c r="F4" s="28" t="s">
        <v>485</v>
      </c>
      <c r="G4" s="28" t="s">
        <v>494</v>
      </c>
      <c r="H4" s="28" t="s">
        <v>484</v>
      </c>
      <c r="I4" s="28"/>
      <c r="J4" s="28" t="s">
        <v>589</v>
      </c>
      <c r="K4" s="28" t="s">
        <v>506</v>
      </c>
      <c r="L4" s="28"/>
      <c r="M4" s="28">
        <v>1</v>
      </c>
      <c r="N4" s="28" t="s">
        <v>619</v>
      </c>
    </row>
    <row r="5" spans="1:14" ht="24" customHeight="1">
      <c r="A5" s="28" t="s">
        <v>620</v>
      </c>
      <c r="B5" s="28" t="s">
        <v>545</v>
      </c>
      <c r="C5" s="28">
        <v>150</v>
      </c>
      <c r="D5" s="28" t="s">
        <v>494</v>
      </c>
      <c r="E5" s="28" t="s">
        <v>483</v>
      </c>
      <c r="F5" s="28" t="s">
        <v>485</v>
      </c>
      <c r="G5" s="28" t="s">
        <v>494</v>
      </c>
      <c r="H5" s="28" t="s">
        <v>484</v>
      </c>
      <c r="I5" s="28" t="s">
        <v>494</v>
      </c>
      <c r="J5" s="28" t="s">
        <v>584</v>
      </c>
      <c r="K5" s="28" t="s">
        <v>509</v>
      </c>
      <c r="L5" s="28"/>
      <c r="M5" s="28">
        <v>1</v>
      </c>
      <c r="N5" s="28" t="s">
        <v>542</v>
      </c>
    </row>
    <row r="6" spans="1:14" ht="24" customHeight="1">
      <c r="A6" s="28" t="s">
        <v>371</v>
      </c>
      <c r="B6" s="28" t="s">
        <v>548</v>
      </c>
      <c r="C6" s="28">
        <v>100</v>
      </c>
      <c r="D6" s="28" t="s">
        <v>484</v>
      </c>
      <c r="E6" s="28" t="s">
        <v>483</v>
      </c>
      <c r="F6" s="28" t="s">
        <v>485</v>
      </c>
      <c r="G6" s="28" t="s">
        <v>494</v>
      </c>
      <c r="H6" s="28" t="s">
        <v>526</v>
      </c>
      <c r="I6" s="28"/>
      <c r="J6" s="28" t="s">
        <v>584</v>
      </c>
      <c r="K6" s="28" t="s">
        <v>495</v>
      </c>
      <c r="L6" s="28" t="s">
        <v>526</v>
      </c>
      <c r="M6" s="28">
        <v>1</v>
      </c>
      <c r="N6" s="28" t="s">
        <v>621</v>
      </c>
    </row>
    <row r="7" spans="1:14" ht="24" customHeight="1">
      <c r="A7" s="28" t="s">
        <v>622</v>
      </c>
      <c r="B7" s="28" t="s">
        <v>544</v>
      </c>
      <c r="C7" s="28">
        <v>100</v>
      </c>
      <c r="D7" s="28" t="s">
        <v>484</v>
      </c>
      <c r="E7" s="28" t="s">
        <v>512</v>
      </c>
      <c r="F7" s="28" t="s">
        <v>485</v>
      </c>
      <c r="G7" s="28" t="s">
        <v>494</v>
      </c>
      <c r="H7" s="28" t="s">
        <v>484</v>
      </c>
      <c r="I7" s="28"/>
      <c r="J7" s="28" t="s">
        <v>584</v>
      </c>
      <c r="K7" s="28" t="s">
        <v>514</v>
      </c>
      <c r="L7" s="28"/>
      <c r="M7" s="28">
        <v>1</v>
      </c>
      <c r="N7" s="28" t="s">
        <v>542</v>
      </c>
    </row>
    <row r="8" spans="1:14" ht="24" customHeight="1">
      <c r="A8" s="28" t="s">
        <v>623</v>
      </c>
      <c r="B8" s="28" t="s">
        <v>544</v>
      </c>
      <c r="C8" s="28">
        <v>150</v>
      </c>
      <c r="D8" s="28" t="s">
        <v>494</v>
      </c>
      <c r="E8" s="28" t="s">
        <v>512</v>
      </c>
      <c r="F8" s="28" t="s">
        <v>485</v>
      </c>
      <c r="G8" s="28" t="s">
        <v>484</v>
      </c>
      <c r="H8" s="28" t="s">
        <v>484</v>
      </c>
      <c r="I8" s="28"/>
      <c r="J8" s="28" t="s">
        <v>584</v>
      </c>
      <c r="K8" s="28" t="s">
        <v>592</v>
      </c>
      <c r="L8" s="28"/>
      <c r="M8" s="28">
        <v>1</v>
      </c>
      <c r="N8" s="28" t="s">
        <v>124</v>
      </c>
    </row>
    <row r="9" spans="1:14" ht="24" customHeight="1">
      <c r="A9" s="28" t="s">
        <v>624</v>
      </c>
      <c r="B9" s="28" t="s">
        <v>545</v>
      </c>
      <c r="C9" s="28">
        <v>100</v>
      </c>
      <c r="D9" s="28" t="s">
        <v>494</v>
      </c>
      <c r="E9" s="28" t="s">
        <v>483</v>
      </c>
      <c r="F9" s="28" t="s">
        <v>485</v>
      </c>
      <c r="G9" s="28" t="s">
        <v>494</v>
      </c>
      <c r="H9" s="28" t="s">
        <v>484</v>
      </c>
      <c r="I9" s="28"/>
      <c r="J9" s="28" t="s">
        <v>584</v>
      </c>
      <c r="K9" s="28" t="s">
        <v>505</v>
      </c>
      <c r="L9" s="28"/>
      <c r="M9" s="28">
        <v>1</v>
      </c>
      <c r="N9" s="28" t="s">
        <v>625</v>
      </c>
    </row>
    <row r="10" spans="1:14" ht="24" customHeight="1">
      <c r="A10" s="28" t="s">
        <v>626</v>
      </c>
      <c r="B10" s="28" t="s">
        <v>545</v>
      </c>
      <c r="C10" s="28">
        <v>150</v>
      </c>
      <c r="D10" s="28" t="s">
        <v>494</v>
      </c>
      <c r="E10" s="28" t="s">
        <v>483</v>
      </c>
      <c r="F10" s="28" t="s">
        <v>485</v>
      </c>
      <c r="G10" s="28" t="s">
        <v>494</v>
      </c>
      <c r="H10" s="28" t="s">
        <v>484</v>
      </c>
      <c r="I10" s="28"/>
      <c r="J10" s="28" t="s">
        <v>584</v>
      </c>
      <c r="K10" s="28" t="s">
        <v>506</v>
      </c>
      <c r="L10" s="28"/>
      <c r="M10" s="28">
        <v>1</v>
      </c>
      <c r="N10" s="28" t="s">
        <v>627</v>
      </c>
    </row>
    <row r="11" spans="1:14" ht="24" customHeight="1">
      <c r="A11" s="28" t="s">
        <v>628</v>
      </c>
      <c r="B11" s="28" t="s">
        <v>544</v>
      </c>
      <c r="C11" s="28">
        <v>150</v>
      </c>
      <c r="D11" s="28" t="s">
        <v>494</v>
      </c>
      <c r="E11" s="28" t="s">
        <v>483</v>
      </c>
      <c r="F11" s="28" t="s">
        <v>485</v>
      </c>
      <c r="G11" s="28" t="s">
        <v>494</v>
      </c>
      <c r="H11" s="28" t="s">
        <v>484</v>
      </c>
      <c r="I11" s="28"/>
      <c r="J11" s="28" t="s">
        <v>584</v>
      </c>
      <c r="K11" s="28" t="s">
        <v>506</v>
      </c>
      <c r="L11" s="28"/>
      <c r="M11" s="28">
        <v>1</v>
      </c>
      <c r="N11" s="28" t="s">
        <v>629</v>
      </c>
    </row>
    <row r="12" spans="1:14" ht="24" customHeight="1">
      <c r="A12" s="28" t="s">
        <v>630</v>
      </c>
      <c r="B12" s="28" t="s">
        <v>545</v>
      </c>
      <c r="C12" s="28">
        <v>150</v>
      </c>
      <c r="D12" s="28" t="s">
        <v>494</v>
      </c>
      <c r="E12" s="28" t="s">
        <v>483</v>
      </c>
      <c r="F12" s="28" t="s">
        <v>485</v>
      </c>
      <c r="G12" s="28" t="s">
        <v>494</v>
      </c>
      <c r="H12" s="28" t="s">
        <v>484</v>
      </c>
      <c r="I12" s="28"/>
      <c r="J12" s="28" t="s">
        <v>584</v>
      </c>
      <c r="K12" s="28" t="s">
        <v>506</v>
      </c>
      <c r="L12" s="28"/>
      <c r="M12" s="28">
        <v>1</v>
      </c>
      <c r="N12" s="28" t="s">
        <v>631</v>
      </c>
    </row>
    <row r="13" spans="1:14" ht="24" customHeight="1">
      <c r="A13" s="28" t="s">
        <v>632</v>
      </c>
      <c r="B13" s="28" t="s">
        <v>545</v>
      </c>
      <c r="C13" s="28">
        <v>150</v>
      </c>
      <c r="D13" s="28" t="s">
        <v>494</v>
      </c>
      <c r="E13" s="28" t="s">
        <v>483</v>
      </c>
      <c r="F13" s="28" t="s">
        <v>485</v>
      </c>
      <c r="G13" s="28" t="s">
        <v>494</v>
      </c>
      <c r="H13" s="28" t="s">
        <v>494</v>
      </c>
      <c r="I13" s="28"/>
      <c r="J13" s="28" t="s">
        <v>584</v>
      </c>
      <c r="K13" s="28" t="s">
        <v>506</v>
      </c>
      <c r="L13" s="28" t="s">
        <v>633</v>
      </c>
      <c r="M13" s="28">
        <v>1</v>
      </c>
      <c r="N13" s="28" t="s">
        <v>563</v>
      </c>
    </row>
    <row r="14" spans="1:14" ht="24" customHeight="1">
      <c r="A14" s="28" t="s">
        <v>634</v>
      </c>
      <c r="B14" s="28" t="s">
        <v>545</v>
      </c>
      <c r="C14" s="28" t="s">
        <v>635</v>
      </c>
      <c r="D14" s="28"/>
      <c r="E14" s="28" t="s">
        <v>483</v>
      </c>
      <c r="F14" s="28" t="s">
        <v>485</v>
      </c>
      <c r="G14" s="28" t="s">
        <v>494</v>
      </c>
      <c r="H14" s="28"/>
      <c r="I14" s="28"/>
      <c r="J14" s="28" t="s">
        <v>584</v>
      </c>
      <c r="K14" s="28" t="s">
        <v>592</v>
      </c>
      <c r="L14" s="28" t="s">
        <v>633</v>
      </c>
      <c r="M14" s="28">
        <v>1</v>
      </c>
      <c r="N14" s="28" t="s">
        <v>636</v>
      </c>
    </row>
    <row r="15" spans="1:14" ht="24" customHeight="1">
      <c r="A15" s="28" t="s">
        <v>637</v>
      </c>
      <c r="B15" s="28" t="s">
        <v>543</v>
      </c>
      <c r="C15" s="28">
        <v>150</v>
      </c>
      <c r="D15" s="28" t="s">
        <v>494</v>
      </c>
      <c r="E15" s="28" t="s">
        <v>483</v>
      </c>
      <c r="F15" s="28" t="s">
        <v>485</v>
      </c>
      <c r="G15" s="28" t="s">
        <v>494</v>
      </c>
      <c r="H15" s="28" t="s">
        <v>484</v>
      </c>
      <c r="I15" s="28"/>
      <c r="J15" s="28" t="s">
        <v>584</v>
      </c>
      <c r="K15" s="28" t="s">
        <v>506</v>
      </c>
      <c r="L15" s="28"/>
      <c r="M15" s="28">
        <v>1</v>
      </c>
      <c r="N15" s="28" t="s">
        <v>638</v>
      </c>
    </row>
    <row r="16" spans="1:14" ht="24" customHeight="1">
      <c r="A16" s="28" t="s">
        <v>639</v>
      </c>
      <c r="B16" s="28" t="s">
        <v>545</v>
      </c>
      <c r="C16" s="28">
        <v>150</v>
      </c>
      <c r="D16" s="28" t="s">
        <v>494</v>
      </c>
      <c r="E16" s="28" t="s">
        <v>483</v>
      </c>
      <c r="F16" s="28" t="s">
        <v>485</v>
      </c>
      <c r="G16" s="28" t="s">
        <v>494</v>
      </c>
      <c r="H16" s="28" t="s">
        <v>484</v>
      </c>
      <c r="I16" s="28"/>
      <c r="J16" s="28" t="s">
        <v>584</v>
      </c>
      <c r="K16" s="28" t="s">
        <v>592</v>
      </c>
      <c r="L16" s="28"/>
      <c r="M16" s="28">
        <v>1</v>
      </c>
      <c r="N16" s="28" t="s">
        <v>640</v>
      </c>
    </row>
    <row r="17" spans="1:14" ht="24" customHeight="1">
      <c r="A17" s="28" t="s">
        <v>641</v>
      </c>
      <c r="B17" s="28" t="s">
        <v>545</v>
      </c>
      <c r="C17" s="28">
        <v>150</v>
      </c>
      <c r="D17" s="28" t="s">
        <v>494</v>
      </c>
      <c r="E17" s="28" t="s">
        <v>483</v>
      </c>
      <c r="F17" s="28" t="s">
        <v>485</v>
      </c>
      <c r="G17" s="28" t="s">
        <v>494</v>
      </c>
      <c r="H17" s="28" t="s">
        <v>526</v>
      </c>
      <c r="I17" s="28"/>
      <c r="J17" s="28" t="s">
        <v>584</v>
      </c>
      <c r="K17" s="28" t="s">
        <v>506</v>
      </c>
      <c r="L17" s="28" t="s">
        <v>526</v>
      </c>
      <c r="M17" s="28">
        <v>1</v>
      </c>
      <c r="N17" s="28" t="s">
        <v>642</v>
      </c>
    </row>
  </sheetData>
  <phoneticPr fontId="1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5690BBDE1FBB4F4DB262F6BA3BE853A5" ma:contentTypeVersion="15" ma:contentTypeDescription="新しいドキュメントを作成します。" ma:contentTypeScope="" ma:versionID="de4a2840160aad403a5a8571233f9c11">
  <xsd:schema xmlns:xsd="http://www.w3.org/2001/XMLSchema" xmlns:xs="http://www.w3.org/2001/XMLSchema" xmlns:p="http://schemas.microsoft.com/office/2006/metadata/properties" xmlns:ns2="872149c2-ec6f-4753-ad24-ec4fba8ab11c" xmlns:ns3="562a24ff-142f-470d-8163-433189447a67" targetNamespace="http://schemas.microsoft.com/office/2006/metadata/properties" ma:root="true" ma:fieldsID="2d5d23b508a40c8e0bfd7bbac543d179" ns2:_="" ns3:_="">
    <xsd:import namespace="872149c2-ec6f-4753-ad24-ec4fba8ab11c"/>
    <xsd:import namespace="562a24ff-142f-470d-8163-433189447a6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149c2-ec6f-4753-ad24-ec4fba8ab1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2ad920d2-07dd-4330-98cf-21cc3387cd9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62a24ff-142f-470d-8163-433189447a6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1afbbc4-5833-4150-b52f-61af2d038b18}" ma:internalName="TaxCatchAll" ma:showField="CatchAllData" ma:web="562a24ff-142f-470d-8163-433189447a67">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72149c2-ec6f-4753-ad24-ec4fba8ab11c">
      <Terms xmlns="http://schemas.microsoft.com/office/infopath/2007/PartnerControls"/>
    </lcf76f155ced4ddcb4097134ff3c332f>
    <TaxCatchAll xmlns="562a24ff-142f-470d-8163-433189447a67" xsi:nil="true"/>
  </documentManagement>
</p:properties>
</file>

<file path=customXml/itemProps1.xml><?xml version="1.0" encoding="utf-8"?>
<ds:datastoreItem xmlns:ds="http://schemas.openxmlformats.org/officeDocument/2006/customXml" ds:itemID="{BA371693-D2A9-4536-B4BB-69A4BF3B0D89}">
  <ds:schemaRefs>
    <ds:schemaRef ds:uri="http://schemas.microsoft.com/sharepoint/v3/contenttype/forms"/>
  </ds:schemaRefs>
</ds:datastoreItem>
</file>

<file path=customXml/itemProps2.xml><?xml version="1.0" encoding="utf-8"?>
<ds:datastoreItem xmlns:ds="http://schemas.openxmlformats.org/officeDocument/2006/customXml" ds:itemID="{01A640B7-90FD-4541-AAC5-139882C81F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149c2-ec6f-4753-ad24-ec4fba8ab11c"/>
    <ds:schemaRef ds:uri="562a24ff-142f-470d-8163-433189447a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E31B0F-2CA8-45F1-A894-AF4A13FA415F}">
  <ds:schemaRefs>
    <ds:schemaRef ds:uri="http://schemas.microsoft.com/office/2006/metadata/properties"/>
    <ds:schemaRef ds:uri="http://schemas.microsoft.com/office/infopath/2007/PartnerControls"/>
    <ds:schemaRef ds:uri="872149c2-ec6f-4753-ad24-ec4fba8ab11c"/>
    <ds:schemaRef ds:uri="562a24ff-142f-470d-8163-433189447a6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README</vt:lpstr>
      <vt:lpstr>KUCHO_KIKI_MASTER</vt:lpstr>
      <vt:lpstr>KANKI_MASTER</vt:lpstr>
      <vt:lpstr>GARARI_MASTER</vt:lpstr>
      <vt:lpstr>ROOM_MASTER</vt:lpstr>
      <vt:lpstr>検証_選定設定</vt:lpstr>
      <vt:lpstr>検証_エラー一覧</vt:lpstr>
      <vt:lpstr>検証_CAD_DATA</vt:lpstr>
      <vt:lpstr>検証_機器表（ガラリ）</vt:lpstr>
      <vt:lpstr>GARARI_TEST_CASES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一柳哲也</cp:lastModifiedBy>
  <dcterms:modified xsi:type="dcterms:W3CDTF">2026-10-10T23:57:35Z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0x0101005690BBDE1FBB4F4DB262F6BA3BE853A5</vt:lpwstr>
  </property>
</Properties>
</file>